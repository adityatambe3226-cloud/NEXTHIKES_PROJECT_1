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d76204093adc31a/Desktop/FINAL PROJECT 1/"/>
    </mc:Choice>
  </mc:AlternateContent>
  <xr:revisionPtr revIDLastSave="0" documentId="8_{B1D7491B-8E8E-4BAA-94CD-D8BF21231386}" xr6:coauthVersionLast="47" xr6:coauthVersionMax="47" xr10:uidLastSave="{00000000-0000-0000-0000-000000000000}"/>
  <bookViews>
    <workbookView xWindow="2304" yWindow="2304" windowWidth="17280" windowHeight="8880" xr2:uid="{2D80CDC9-965D-47A7-BFC7-81B12F189BF7}"/>
  </bookViews>
  <sheets>
    <sheet name="Dashbord" sheetId="1" r:id="rId1"/>
  </sheets>
  <externalReferences>
    <externalReference r:id="rId2"/>
  </externalReferences>
  <definedNames>
    <definedName name="Slicer_Hours">#N/A</definedName>
    <definedName name="Slicer_Humidity_Range">#N/A</definedName>
    <definedName name="Slicer_Months1">#N/A</definedName>
    <definedName name="Slicer_Temperature_Range">#N/A</definedName>
    <definedName name="Slicer_Weathersit_21">#N/A</definedName>
    <definedName name="Slicer_Weekdays_2">#N/A</definedName>
    <definedName name="Slicer_Windspeed_Range">#N/A</definedName>
  </definedNames>
  <calcPr calcId="191029"/>
  <extLst>
    <ext xmlns:x14="http://schemas.microsoft.com/office/spreadsheetml/2009/9/main" uri="{876F7934-8845-4945-9796-88D515C7AA90}">
      <x14:pivotCaches>
        <pivotCache cacheId="704" r:id="rId3"/>
      </x14:pivotCaches>
    </ex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8" i="1" l="1"/>
  <c r="F8" i="1"/>
  <c r="Q8" i="1"/>
  <c r="L8" i="1"/>
</calcChain>
</file>

<file path=xl/sharedStrings.xml><?xml version="1.0" encoding="utf-8"?>
<sst xmlns="http://schemas.openxmlformats.org/spreadsheetml/2006/main" count="1" uniqueCount="1">
  <si>
    <t>BIKE SHARING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</si>
</sst>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26"/>
      <color theme="2"/>
      <name val="Arial"/>
      <family val="2"/>
      <scheme val="minor"/>
    </font>
    <font>
      <b/>
      <sz val="16"/>
      <color rgb="FF000000"/>
      <name val="Arial"/>
      <family val="2"/>
      <scheme val="minor"/>
    </font>
  </fonts>
  <fills count="3">
    <fill>
      <patternFill patternType="none"/>
    </fill>
    <fill>
      <patternFill patternType="gray125"/>
    </fill>
    <fill>
      <patternFill patternType="solid">
        <fgColor theme="0" tint="-0.3499862666707357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0" xfId="0" applyFont="1" applyFill="1" applyAlignment="1">
      <alignment horizontal="center"/>
    </xf>
    <xf numFmtId="0" fontId="1" fillId="2" borderId="5" xfId="0" applyFont="1" applyFill="1" applyBorder="1" applyAlignment="1">
      <alignment horizontal="center"/>
    </xf>
    <xf numFmtId="0" fontId="0" fillId="0" borderId="4" xfId="0" applyBorder="1"/>
    <xf numFmtId="0" fontId="0" fillId="0" borderId="5" xfId="0" applyBorder="1"/>
    <xf numFmtId="0" fontId="2" fillId="0" borderId="0" xfId="0" applyFont="1"/>
    <xf numFmtId="0" fontId="2" fillId="0" borderId="0" xfId="0" applyFont="1" applyAlignment="1">
      <alignment horizontal="center"/>
    </xf>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sharedStrings" Target="sharedStrings.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theme" Target="theme/theme1.xml"/><Relationship Id="rId5" Type="http://schemas.microsoft.com/office/2007/relationships/slicerCache" Target="slicerCaches/slicerCache2.xml"/><Relationship Id="rId10" Type="http://schemas.microsoft.com/office/2007/relationships/slicerCache" Target="slicerCaches/slicerCache7.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'[1]Final dataset'!$U$1</c:f>
              <c:strCache>
                <c:ptCount val="1"/>
                <c:pt idx="0">
                  <c:v>Total </c:v>
                </c:pt>
              </c:strCache>
            </c:strRef>
          </c:tx>
          <c:spPr>
            <a:ln w="9525" cap="rnd">
              <a:solidFill>
                <a:schemeClr val="accent1"/>
              </a:solidFill>
              <a:round/>
            </a:ln>
            <a:effectLst>
              <a:outerShdw blurRad="57150" dist="19050" dir="5400000" algn="ctr" rotWithShape="0">
                <a:srgbClr val="000000">
                  <a:alpha val="63000"/>
                </a:srgbClr>
              </a:outerShdw>
            </a:effectLst>
          </c:spPr>
          <c:marker>
            <c:symbol val="none"/>
          </c:marker>
          <c:xVal>
            <c:strRef>
              <c:f>'[1]Final dataset'!$N$2:$N$1001</c:f>
              <c:strCache>
                <c:ptCount val="1000"/>
                <c:pt idx="0">
                  <c:v>Low</c:v>
                </c:pt>
                <c:pt idx="1">
                  <c:v>Low</c:v>
                </c:pt>
                <c:pt idx="2">
                  <c:v>Low</c:v>
                </c:pt>
                <c:pt idx="3">
                  <c:v>Low</c:v>
                </c:pt>
                <c:pt idx="4">
                  <c:v>Low</c:v>
                </c:pt>
                <c:pt idx="5">
                  <c:v>Low</c:v>
                </c:pt>
                <c:pt idx="6">
                  <c:v>Low</c:v>
                </c:pt>
                <c:pt idx="7">
                  <c:v>Low</c:v>
                </c:pt>
                <c:pt idx="8">
                  <c:v>Low</c:v>
                </c:pt>
                <c:pt idx="9">
                  <c:v>Medium</c:v>
                </c:pt>
                <c:pt idx="10">
                  <c:v>Medium</c:v>
                </c:pt>
                <c:pt idx="11">
                  <c:v>Medium</c:v>
                </c:pt>
                <c:pt idx="12">
                  <c:v>Medium</c:v>
                </c:pt>
                <c:pt idx="13">
                  <c:v>Medium</c:v>
                </c:pt>
                <c:pt idx="14">
                  <c:v>Medium</c:v>
                </c:pt>
                <c:pt idx="15">
                  <c:v>Medium</c:v>
                </c:pt>
                <c:pt idx="16">
                  <c:v>Medium</c:v>
                </c:pt>
                <c:pt idx="17">
                  <c:v>Medium</c:v>
                </c:pt>
                <c:pt idx="18">
                  <c:v>Medium</c:v>
                </c:pt>
                <c:pt idx="19">
                  <c:v>Medium</c:v>
                </c:pt>
                <c:pt idx="20">
                  <c:v>Medium</c:v>
                </c:pt>
                <c:pt idx="21">
                  <c:v>Medium</c:v>
                </c:pt>
                <c:pt idx="22">
                  <c:v>Medium</c:v>
                </c:pt>
                <c:pt idx="23">
                  <c:v>Medium</c:v>
                </c:pt>
                <c:pt idx="24">
                  <c:v>Medium</c:v>
                </c:pt>
                <c:pt idx="25">
                  <c:v>Medium</c:v>
                </c:pt>
                <c:pt idx="26">
                  <c:v>Medium</c:v>
                </c:pt>
                <c:pt idx="27">
                  <c:v>Medium</c:v>
                </c:pt>
                <c:pt idx="28">
                  <c:v>Medium</c:v>
                </c:pt>
                <c:pt idx="29">
                  <c:v>Medium</c:v>
                </c:pt>
                <c:pt idx="30">
                  <c:v>Medium</c:v>
                </c:pt>
                <c:pt idx="31">
                  <c:v>Medium</c:v>
                </c:pt>
                <c:pt idx="32">
                  <c:v>Medium</c:v>
                </c:pt>
                <c:pt idx="33">
                  <c:v>Medium</c:v>
                </c:pt>
                <c:pt idx="34">
                  <c:v>Medium</c:v>
                </c:pt>
                <c:pt idx="35">
                  <c:v>Medium</c:v>
                </c:pt>
                <c:pt idx="36">
                  <c:v>Medium</c:v>
                </c:pt>
                <c:pt idx="37">
                  <c:v>Medium</c:v>
                </c:pt>
                <c:pt idx="38">
                  <c:v>Medium</c:v>
                </c:pt>
                <c:pt idx="39">
                  <c:v>Medium</c:v>
                </c:pt>
                <c:pt idx="40">
                  <c:v>Medium</c:v>
                </c:pt>
                <c:pt idx="41">
                  <c:v>Medium</c:v>
                </c:pt>
                <c:pt idx="42">
                  <c:v>Low</c:v>
                </c:pt>
                <c:pt idx="43">
                  <c:v>Low</c:v>
                </c:pt>
                <c:pt idx="44">
                  <c:v>Low</c:v>
                </c:pt>
                <c:pt idx="45">
                  <c:v>Low</c:v>
                </c:pt>
                <c:pt idx="46">
                  <c:v>Low</c:v>
                </c:pt>
                <c:pt idx="47">
                  <c:v>Low</c:v>
                </c:pt>
                <c:pt idx="48">
                  <c:v>Low</c:v>
                </c:pt>
                <c:pt idx="49">
                  <c:v>Low</c:v>
                </c:pt>
                <c:pt idx="50">
                  <c:v>Low</c:v>
                </c:pt>
                <c:pt idx="51">
                  <c:v>Low</c:v>
                </c:pt>
                <c:pt idx="52">
                  <c:v>Low</c:v>
                </c:pt>
                <c:pt idx="53">
                  <c:v>Low</c:v>
                </c:pt>
                <c:pt idx="54">
                  <c:v>Low</c:v>
                </c:pt>
                <c:pt idx="55">
                  <c:v>Low</c:v>
                </c:pt>
                <c:pt idx="56">
                  <c:v>Low</c:v>
                </c:pt>
                <c:pt idx="57">
                  <c:v>Low</c:v>
                </c:pt>
                <c:pt idx="58">
                  <c:v>Low</c:v>
                </c:pt>
                <c:pt idx="59">
                  <c:v>Low</c:v>
                </c:pt>
                <c:pt idx="60">
                  <c:v>Low</c:v>
                </c:pt>
                <c:pt idx="61">
                  <c:v>Low</c:v>
                </c:pt>
                <c:pt idx="62">
                  <c:v>Low</c:v>
                </c:pt>
                <c:pt idx="63">
                  <c:v>Low</c:v>
                </c:pt>
                <c:pt idx="64">
                  <c:v>Low</c:v>
                </c:pt>
                <c:pt idx="65">
                  <c:v>Low</c:v>
                </c:pt>
                <c:pt idx="66">
                  <c:v>Low</c:v>
                </c:pt>
                <c:pt idx="67">
                  <c:v>Low</c:v>
                </c:pt>
                <c:pt idx="68">
                  <c:v>Low</c:v>
                </c:pt>
                <c:pt idx="69">
                  <c:v>Low</c:v>
                </c:pt>
                <c:pt idx="70">
                  <c:v>Low</c:v>
                </c:pt>
                <c:pt idx="71">
                  <c:v>Low</c:v>
                </c:pt>
                <c:pt idx="72">
                  <c:v>Low</c:v>
                </c:pt>
                <c:pt idx="73">
                  <c:v>Low</c:v>
                </c:pt>
                <c:pt idx="74">
                  <c:v>Low</c:v>
                </c:pt>
                <c:pt idx="75">
                  <c:v>Low</c:v>
                </c:pt>
                <c:pt idx="76">
                  <c:v>Low</c:v>
                </c:pt>
                <c:pt idx="77">
                  <c:v>Low</c:v>
                </c:pt>
                <c:pt idx="78">
                  <c:v>Low</c:v>
                </c:pt>
                <c:pt idx="79">
                  <c:v>Low</c:v>
                </c:pt>
                <c:pt idx="80">
                  <c:v>Low</c:v>
                </c:pt>
                <c:pt idx="81">
                  <c:v>Low</c:v>
                </c:pt>
                <c:pt idx="82">
                  <c:v>Low</c:v>
                </c:pt>
                <c:pt idx="83">
                  <c:v>Low</c:v>
                </c:pt>
                <c:pt idx="84">
                  <c:v>Low</c:v>
                </c:pt>
                <c:pt idx="85">
                  <c:v>Low</c:v>
                </c:pt>
                <c:pt idx="86">
                  <c:v>Low</c:v>
                </c:pt>
                <c:pt idx="87">
                  <c:v>Low</c:v>
                </c:pt>
                <c:pt idx="88">
                  <c:v>Low</c:v>
                </c:pt>
                <c:pt idx="89">
                  <c:v>Low</c:v>
                </c:pt>
                <c:pt idx="90">
                  <c:v>Low</c:v>
                </c:pt>
                <c:pt idx="91">
                  <c:v>Low</c:v>
                </c:pt>
                <c:pt idx="92">
                  <c:v>Low</c:v>
                </c:pt>
                <c:pt idx="93">
                  <c:v>Low</c:v>
                </c:pt>
                <c:pt idx="94">
                  <c:v>Low</c:v>
                </c:pt>
                <c:pt idx="95">
                  <c:v>Low</c:v>
                </c:pt>
                <c:pt idx="96">
                  <c:v>Low</c:v>
                </c:pt>
                <c:pt idx="97">
                  <c:v>Low</c:v>
                </c:pt>
                <c:pt idx="98">
                  <c:v>Low</c:v>
                </c:pt>
                <c:pt idx="99">
                  <c:v>Low</c:v>
                </c:pt>
                <c:pt idx="100">
                  <c:v>Low</c:v>
                </c:pt>
                <c:pt idx="101">
                  <c:v>Low</c:v>
                </c:pt>
                <c:pt idx="102">
                  <c:v>Low</c:v>
                </c:pt>
                <c:pt idx="103">
                  <c:v>Low</c:v>
                </c:pt>
                <c:pt idx="104">
                  <c:v>Low</c:v>
                </c:pt>
                <c:pt idx="105">
                  <c:v>Low</c:v>
                </c:pt>
                <c:pt idx="106">
                  <c:v>Low</c:v>
                </c:pt>
                <c:pt idx="107">
                  <c:v>Medium</c:v>
                </c:pt>
                <c:pt idx="108">
                  <c:v>Low</c:v>
                </c:pt>
                <c:pt idx="109">
                  <c:v>Low</c:v>
                </c:pt>
                <c:pt idx="110">
                  <c:v>Low</c:v>
                </c:pt>
                <c:pt idx="111">
                  <c:v>Low</c:v>
                </c:pt>
                <c:pt idx="112">
                  <c:v>Low</c:v>
                </c:pt>
                <c:pt idx="113">
                  <c:v>Low</c:v>
                </c:pt>
                <c:pt idx="114">
                  <c:v>Low</c:v>
                </c:pt>
                <c:pt idx="115">
                  <c:v>Low</c:v>
                </c:pt>
                <c:pt idx="116">
                  <c:v>Low</c:v>
                </c:pt>
                <c:pt idx="117">
                  <c:v>Low</c:v>
                </c:pt>
                <c:pt idx="118">
                  <c:v>Low</c:v>
                </c:pt>
                <c:pt idx="119">
                  <c:v>Low</c:v>
                </c:pt>
                <c:pt idx="120">
                  <c:v>Low</c:v>
                </c:pt>
                <c:pt idx="121">
                  <c:v>Low</c:v>
                </c:pt>
                <c:pt idx="122">
                  <c:v>Low</c:v>
                </c:pt>
                <c:pt idx="123">
                  <c:v>Low</c:v>
                </c:pt>
                <c:pt idx="124">
                  <c:v>Low</c:v>
                </c:pt>
                <c:pt idx="125">
                  <c:v>Low</c:v>
                </c:pt>
                <c:pt idx="126">
                  <c:v>Low</c:v>
                </c:pt>
                <c:pt idx="127">
                  <c:v>Low</c:v>
                </c:pt>
                <c:pt idx="128">
                  <c:v>Low</c:v>
                </c:pt>
                <c:pt idx="129">
                  <c:v>Low</c:v>
                </c:pt>
                <c:pt idx="130">
                  <c:v>Low</c:v>
                </c:pt>
                <c:pt idx="131">
                  <c:v>Low</c:v>
                </c:pt>
                <c:pt idx="132">
                  <c:v>Low</c:v>
                </c:pt>
                <c:pt idx="133">
                  <c:v>Low</c:v>
                </c:pt>
                <c:pt idx="134">
                  <c:v>Low</c:v>
                </c:pt>
                <c:pt idx="135">
                  <c:v>Low</c:v>
                </c:pt>
                <c:pt idx="136">
                  <c:v>Low</c:v>
                </c:pt>
                <c:pt idx="137">
                  <c:v>Low</c:v>
                </c:pt>
                <c:pt idx="138">
                  <c:v>Low</c:v>
                </c:pt>
                <c:pt idx="139">
                  <c:v>Low</c:v>
                </c:pt>
                <c:pt idx="140">
                  <c:v>Low</c:v>
                </c:pt>
                <c:pt idx="141">
                  <c:v>Low</c:v>
                </c:pt>
                <c:pt idx="142">
                  <c:v>Low</c:v>
                </c:pt>
                <c:pt idx="143">
                  <c:v>Low</c:v>
                </c:pt>
                <c:pt idx="144">
                  <c:v>Low</c:v>
                </c:pt>
                <c:pt idx="145">
                  <c:v>Low</c:v>
                </c:pt>
                <c:pt idx="146">
                  <c:v>Low</c:v>
                </c:pt>
                <c:pt idx="147">
                  <c:v>Low</c:v>
                </c:pt>
                <c:pt idx="148">
                  <c:v>Low</c:v>
                </c:pt>
                <c:pt idx="149">
                  <c:v>Low</c:v>
                </c:pt>
                <c:pt idx="150">
                  <c:v>Low</c:v>
                </c:pt>
                <c:pt idx="151">
                  <c:v>Low</c:v>
                </c:pt>
                <c:pt idx="152">
                  <c:v>Low</c:v>
                </c:pt>
                <c:pt idx="153">
                  <c:v>Low</c:v>
                </c:pt>
                <c:pt idx="154">
                  <c:v>Low</c:v>
                </c:pt>
                <c:pt idx="155">
                  <c:v>Low</c:v>
                </c:pt>
                <c:pt idx="156">
                  <c:v>Low</c:v>
                </c:pt>
                <c:pt idx="157">
                  <c:v>Low</c:v>
                </c:pt>
                <c:pt idx="158">
                  <c:v>Low</c:v>
                </c:pt>
                <c:pt idx="159">
                  <c:v>Low</c:v>
                </c:pt>
                <c:pt idx="160">
                  <c:v>Low</c:v>
                </c:pt>
                <c:pt idx="161">
                  <c:v>Low</c:v>
                </c:pt>
                <c:pt idx="162">
                  <c:v>Low</c:v>
                </c:pt>
                <c:pt idx="163">
                  <c:v>Low</c:v>
                </c:pt>
                <c:pt idx="164">
                  <c:v>Low</c:v>
                </c:pt>
                <c:pt idx="165">
                  <c:v>Low</c:v>
                </c:pt>
                <c:pt idx="166">
                  <c:v>Low</c:v>
                </c:pt>
                <c:pt idx="167">
                  <c:v>Low</c:v>
                </c:pt>
                <c:pt idx="168">
                  <c:v>Low</c:v>
                </c:pt>
                <c:pt idx="169">
                  <c:v>Low</c:v>
                </c:pt>
                <c:pt idx="170">
                  <c:v>Low</c:v>
                </c:pt>
                <c:pt idx="171">
                  <c:v>Low</c:v>
                </c:pt>
                <c:pt idx="172">
                  <c:v>Low</c:v>
                </c:pt>
                <c:pt idx="173">
                  <c:v>Low</c:v>
                </c:pt>
                <c:pt idx="174">
                  <c:v>Low</c:v>
                </c:pt>
                <c:pt idx="175">
                  <c:v>Low</c:v>
                </c:pt>
                <c:pt idx="176">
                  <c:v>Low</c:v>
                </c:pt>
                <c:pt idx="177">
                  <c:v>Low</c:v>
                </c:pt>
                <c:pt idx="178">
                  <c:v>Low</c:v>
                </c:pt>
                <c:pt idx="179">
                  <c:v>Low</c:v>
                </c:pt>
                <c:pt idx="180">
                  <c:v>Low</c:v>
                </c:pt>
                <c:pt idx="181">
                  <c:v>Low</c:v>
                </c:pt>
                <c:pt idx="182">
                  <c:v>Low</c:v>
                </c:pt>
                <c:pt idx="183">
                  <c:v>Low</c:v>
                </c:pt>
                <c:pt idx="184">
                  <c:v>Low</c:v>
                </c:pt>
                <c:pt idx="185">
                  <c:v>Low</c:v>
                </c:pt>
                <c:pt idx="186">
                  <c:v>Low</c:v>
                </c:pt>
                <c:pt idx="187">
                  <c:v>Low</c:v>
                </c:pt>
                <c:pt idx="188">
                  <c:v>Low</c:v>
                </c:pt>
                <c:pt idx="189">
                  <c:v>Low</c:v>
                </c:pt>
                <c:pt idx="190">
                  <c:v>Low</c:v>
                </c:pt>
                <c:pt idx="191">
                  <c:v>Low</c:v>
                </c:pt>
                <c:pt idx="192">
                  <c:v>Low</c:v>
                </c:pt>
                <c:pt idx="193">
                  <c:v>Low</c:v>
                </c:pt>
                <c:pt idx="194">
                  <c:v>Low</c:v>
                </c:pt>
                <c:pt idx="195">
                  <c:v>Low</c:v>
                </c:pt>
                <c:pt idx="196">
                  <c:v>Low</c:v>
                </c:pt>
                <c:pt idx="197">
                  <c:v>Low</c:v>
                </c:pt>
                <c:pt idx="198">
                  <c:v>Low</c:v>
                </c:pt>
                <c:pt idx="199">
                  <c:v>Low</c:v>
                </c:pt>
                <c:pt idx="200">
                  <c:v>Low</c:v>
                </c:pt>
                <c:pt idx="201">
                  <c:v>Low</c:v>
                </c:pt>
                <c:pt idx="202">
                  <c:v>Low</c:v>
                </c:pt>
                <c:pt idx="203">
                  <c:v>Low</c:v>
                </c:pt>
                <c:pt idx="204">
                  <c:v>Low</c:v>
                </c:pt>
                <c:pt idx="205">
                  <c:v>Low</c:v>
                </c:pt>
                <c:pt idx="206">
                  <c:v>Low</c:v>
                </c:pt>
                <c:pt idx="207">
                  <c:v>Low</c:v>
                </c:pt>
                <c:pt idx="208">
                  <c:v>Low</c:v>
                </c:pt>
                <c:pt idx="209">
                  <c:v>Low</c:v>
                </c:pt>
                <c:pt idx="210">
                  <c:v>Low</c:v>
                </c:pt>
                <c:pt idx="211">
                  <c:v>Low</c:v>
                </c:pt>
                <c:pt idx="212">
                  <c:v>Low</c:v>
                </c:pt>
                <c:pt idx="213">
                  <c:v>Low</c:v>
                </c:pt>
                <c:pt idx="214">
                  <c:v>Low</c:v>
                </c:pt>
                <c:pt idx="215">
                  <c:v>Low</c:v>
                </c:pt>
                <c:pt idx="216">
                  <c:v>Low</c:v>
                </c:pt>
                <c:pt idx="217">
                  <c:v>Low</c:v>
                </c:pt>
                <c:pt idx="218">
                  <c:v>Low</c:v>
                </c:pt>
                <c:pt idx="219">
                  <c:v>Low</c:v>
                </c:pt>
                <c:pt idx="220">
                  <c:v>Low</c:v>
                </c:pt>
                <c:pt idx="221">
                  <c:v>Low</c:v>
                </c:pt>
                <c:pt idx="222">
                  <c:v>Low</c:v>
                </c:pt>
                <c:pt idx="223">
                  <c:v>Low</c:v>
                </c:pt>
                <c:pt idx="224">
                  <c:v>Low</c:v>
                </c:pt>
                <c:pt idx="225">
                  <c:v>Low</c:v>
                </c:pt>
                <c:pt idx="226">
                  <c:v>Low</c:v>
                </c:pt>
                <c:pt idx="227">
                  <c:v>Low</c:v>
                </c:pt>
                <c:pt idx="228">
                  <c:v>Low</c:v>
                </c:pt>
                <c:pt idx="229">
                  <c:v>Low</c:v>
                </c:pt>
                <c:pt idx="230">
                  <c:v>Low</c:v>
                </c:pt>
                <c:pt idx="231">
                  <c:v>Low</c:v>
                </c:pt>
                <c:pt idx="232">
                  <c:v>Low</c:v>
                </c:pt>
                <c:pt idx="233">
                  <c:v>Low</c:v>
                </c:pt>
                <c:pt idx="234">
                  <c:v>Low</c:v>
                </c:pt>
                <c:pt idx="235">
                  <c:v>Low</c:v>
                </c:pt>
                <c:pt idx="236">
                  <c:v>Low</c:v>
                </c:pt>
                <c:pt idx="237">
                  <c:v>Low</c:v>
                </c:pt>
                <c:pt idx="238">
                  <c:v>Low</c:v>
                </c:pt>
                <c:pt idx="239">
                  <c:v>Low</c:v>
                </c:pt>
                <c:pt idx="240">
                  <c:v>Low</c:v>
                </c:pt>
                <c:pt idx="241">
                  <c:v>Low</c:v>
                </c:pt>
                <c:pt idx="242">
                  <c:v>Low</c:v>
                </c:pt>
                <c:pt idx="243">
                  <c:v>Low</c:v>
                </c:pt>
                <c:pt idx="244">
                  <c:v>Low</c:v>
                </c:pt>
                <c:pt idx="245">
                  <c:v>Low</c:v>
                </c:pt>
                <c:pt idx="246">
                  <c:v>Low</c:v>
                </c:pt>
                <c:pt idx="247">
                  <c:v>Low</c:v>
                </c:pt>
                <c:pt idx="248">
                  <c:v>Low</c:v>
                </c:pt>
                <c:pt idx="249">
                  <c:v>Low</c:v>
                </c:pt>
                <c:pt idx="250">
                  <c:v>Low</c:v>
                </c:pt>
                <c:pt idx="251">
                  <c:v>Low</c:v>
                </c:pt>
                <c:pt idx="252">
                  <c:v>Low</c:v>
                </c:pt>
                <c:pt idx="253">
                  <c:v>Low</c:v>
                </c:pt>
                <c:pt idx="254">
                  <c:v>Low</c:v>
                </c:pt>
                <c:pt idx="255">
                  <c:v>Low</c:v>
                </c:pt>
                <c:pt idx="256">
                  <c:v>Low</c:v>
                </c:pt>
                <c:pt idx="257">
                  <c:v>Low</c:v>
                </c:pt>
                <c:pt idx="258">
                  <c:v>Low</c:v>
                </c:pt>
                <c:pt idx="259">
                  <c:v>Low</c:v>
                </c:pt>
                <c:pt idx="260">
                  <c:v>Low</c:v>
                </c:pt>
                <c:pt idx="261">
                  <c:v>Low</c:v>
                </c:pt>
                <c:pt idx="262">
                  <c:v>Low</c:v>
                </c:pt>
                <c:pt idx="263">
                  <c:v>Low</c:v>
                </c:pt>
                <c:pt idx="264">
                  <c:v>Low</c:v>
                </c:pt>
                <c:pt idx="265">
                  <c:v>Low</c:v>
                </c:pt>
                <c:pt idx="266">
                  <c:v>Low</c:v>
                </c:pt>
                <c:pt idx="267">
                  <c:v>Low</c:v>
                </c:pt>
                <c:pt idx="268">
                  <c:v>Low</c:v>
                </c:pt>
                <c:pt idx="269">
                  <c:v>Low</c:v>
                </c:pt>
                <c:pt idx="270">
                  <c:v>Low</c:v>
                </c:pt>
                <c:pt idx="271">
                  <c:v>Low</c:v>
                </c:pt>
                <c:pt idx="272">
                  <c:v>Low</c:v>
                </c:pt>
                <c:pt idx="273">
                  <c:v>Low</c:v>
                </c:pt>
                <c:pt idx="274">
                  <c:v>Low</c:v>
                </c:pt>
                <c:pt idx="275">
                  <c:v>Low</c:v>
                </c:pt>
                <c:pt idx="276">
                  <c:v>Low</c:v>
                </c:pt>
                <c:pt idx="277">
                  <c:v>Low</c:v>
                </c:pt>
                <c:pt idx="278">
                  <c:v>Low</c:v>
                </c:pt>
                <c:pt idx="279">
                  <c:v>Low</c:v>
                </c:pt>
                <c:pt idx="280">
                  <c:v>Low</c:v>
                </c:pt>
                <c:pt idx="281">
                  <c:v>Low</c:v>
                </c:pt>
                <c:pt idx="282">
                  <c:v>Low</c:v>
                </c:pt>
                <c:pt idx="283">
                  <c:v>Low</c:v>
                </c:pt>
                <c:pt idx="284">
                  <c:v>Low</c:v>
                </c:pt>
                <c:pt idx="285">
                  <c:v>Low</c:v>
                </c:pt>
                <c:pt idx="286">
                  <c:v>Low</c:v>
                </c:pt>
                <c:pt idx="287">
                  <c:v>Low</c:v>
                </c:pt>
                <c:pt idx="288">
                  <c:v>Low</c:v>
                </c:pt>
                <c:pt idx="289">
                  <c:v>Low</c:v>
                </c:pt>
                <c:pt idx="290">
                  <c:v>Low</c:v>
                </c:pt>
                <c:pt idx="291">
                  <c:v>Low</c:v>
                </c:pt>
                <c:pt idx="292">
                  <c:v>Low</c:v>
                </c:pt>
                <c:pt idx="293">
                  <c:v>Low</c:v>
                </c:pt>
                <c:pt idx="294">
                  <c:v>Low</c:v>
                </c:pt>
                <c:pt idx="295">
                  <c:v>Low</c:v>
                </c:pt>
                <c:pt idx="296">
                  <c:v>Low</c:v>
                </c:pt>
                <c:pt idx="297">
                  <c:v>Low</c:v>
                </c:pt>
                <c:pt idx="298">
                  <c:v>Low</c:v>
                </c:pt>
                <c:pt idx="299">
                  <c:v>Low</c:v>
                </c:pt>
                <c:pt idx="300">
                  <c:v>Low</c:v>
                </c:pt>
                <c:pt idx="301">
                  <c:v>Low</c:v>
                </c:pt>
                <c:pt idx="302">
                  <c:v>Low</c:v>
                </c:pt>
                <c:pt idx="303">
                  <c:v>Low</c:v>
                </c:pt>
                <c:pt idx="304">
                  <c:v>Low</c:v>
                </c:pt>
                <c:pt idx="305">
                  <c:v>Low</c:v>
                </c:pt>
                <c:pt idx="306">
                  <c:v>Low</c:v>
                </c:pt>
                <c:pt idx="307">
                  <c:v>Low</c:v>
                </c:pt>
                <c:pt idx="308">
                  <c:v>Low</c:v>
                </c:pt>
                <c:pt idx="309">
                  <c:v>Low</c:v>
                </c:pt>
                <c:pt idx="310">
                  <c:v>Low</c:v>
                </c:pt>
                <c:pt idx="311">
                  <c:v>Low</c:v>
                </c:pt>
                <c:pt idx="312">
                  <c:v>Low</c:v>
                </c:pt>
                <c:pt idx="313">
                  <c:v>Low</c:v>
                </c:pt>
                <c:pt idx="314">
                  <c:v>Low</c:v>
                </c:pt>
                <c:pt idx="315">
                  <c:v>Low</c:v>
                </c:pt>
                <c:pt idx="316">
                  <c:v>Low</c:v>
                </c:pt>
                <c:pt idx="317">
                  <c:v>Low</c:v>
                </c:pt>
                <c:pt idx="318">
                  <c:v>Low</c:v>
                </c:pt>
                <c:pt idx="319">
                  <c:v>Low</c:v>
                </c:pt>
                <c:pt idx="320">
                  <c:v>Low</c:v>
                </c:pt>
                <c:pt idx="321">
                  <c:v>Low</c:v>
                </c:pt>
                <c:pt idx="322">
                  <c:v>Low</c:v>
                </c:pt>
                <c:pt idx="323">
                  <c:v>Low</c:v>
                </c:pt>
                <c:pt idx="324">
                  <c:v>Low</c:v>
                </c:pt>
                <c:pt idx="325">
                  <c:v>Low</c:v>
                </c:pt>
                <c:pt idx="326">
                  <c:v>Low</c:v>
                </c:pt>
                <c:pt idx="327">
                  <c:v>Low</c:v>
                </c:pt>
                <c:pt idx="328">
                  <c:v>Low</c:v>
                </c:pt>
                <c:pt idx="329">
                  <c:v>Low</c:v>
                </c:pt>
                <c:pt idx="330">
                  <c:v>Low</c:v>
                </c:pt>
                <c:pt idx="331">
                  <c:v>Low</c:v>
                </c:pt>
                <c:pt idx="332">
                  <c:v>Low</c:v>
                </c:pt>
                <c:pt idx="333">
                  <c:v>Low</c:v>
                </c:pt>
                <c:pt idx="334">
                  <c:v>Low</c:v>
                </c:pt>
                <c:pt idx="335">
                  <c:v>Low</c:v>
                </c:pt>
                <c:pt idx="336">
                  <c:v>Low</c:v>
                </c:pt>
                <c:pt idx="337">
                  <c:v>Low</c:v>
                </c:pt>
                <c:pt idx="338">
                  <c:v>Low</c:v>
                </c:pt>
                <c:pt idx="339">
                  <c:v>Medium</c:v>
                </c:pt>
                <c:pt idx="340">
                  <c:v>Medium</c:v>
                </c:pt>
                <c:pt idx="341">
                  <c:v>Medium</c:v>
                </c:pt>
                <c:pt idx="342">
                  <c:v>Low</c:v>
                </c:pt>
                <c:pt idx="343">
                  <c:v>Medium</c:v>
                </c:pt>
                <c:pt idx="344">
                  <c:v>Medium</c:v>
                </c:pt>
                <c:pt idx="345">
                  <c:v>Medium</c:v>
                </c:pt>
                <c:pt idx="346">
                  <c:v>Medium</c:v>
                </c:pt>
                <c:pt idx="347">
                  <c:v>Low</c:v>
                </c:pt>
                <c:pt idx="348">
                  <c:v>Medium</c:v>
                </c:pt>
                <c:pt idx="349">
                  <c:v>Low</c:v>
                </c:pt>
                <c:pt idx="350">
                  <c:v>Low</c:v>
                </c:pt>
                <c:pt idx="351">
                  <c:v>Low</c:v>
                </c:pt>
                <c:pt idx="352">
                  <c:v>Low</c:v>
                </c:pt>
                <c:pt idx="353">
                  <c:v>Low</c:v>
                </c:pt>
                <c:pt idx="354">
                  <c:v>Low</c:v>
                </c:pt>
                <c:pt idx="355">
                  <c:v>Low</c:v>
                </c:pt>
                <c:pt idx="356">
                  <c:v>Low</c:v>
                </c:pt>
                <c:pt idx="357">
                  <c:v>Low</c:v>
                </c:pt>
                <c:pt idx="358">
                  <c:v>Low</c:v>
                </c:pt>
                <c:pt idx="359">
                  <c:v>Low</c:v>
                </c:pt>
                <c:pt idx="360">
                  <c:v>Low</c:v>
                </c:pt>
                <c:pt idx="361">
                  <c:v>Low</c:v>
                </c:pt>
                <c:pt idx="362">
                  <c:v>Low</c:v>
                </c:pt>
                <c:pt idx="363">
                  <c:v>Low</c:v>
                </c:pt>
                <c:pt idx="364">
                  <c:v>Low</c:v>
                </c:pt>
                <c:pt idx="365">
                  <c:v>Low</c:v>
                </c:pt>
                <c:pt idx="366">
                  <c:v>Low</c:v>
                </c:pt>
                <c:pt idx="367">
                  <c:v>Low</c:v>
                </c:pt>
                <c:pt idx="368">
                  <c:v>Low</c:v>
                </c:pt>
                <c:pt idx="369">
                  <c:v>Low</c:v>
                </c:pt>
                <c:pt idx="370">
                  <c:v>Low</c:v>
                </c:pt>
                <c:pt idx="371">
                  <c:v>Low</c:v>
                </c:pt>
                <c:pt idx="372">
                  <c:v>Low</c:v>
                </c:pt>
                <c:pt idx="373">
                  <c:v>Low</c:v>
                </c:pt>
                <c:pt idx="374">
                  <c:v>Low</c:v>
                </c:pt>
                <c:pt idx="375">
                  <c:v>Low</c:v>
                </c:pt>
                <c:pt idx="376">
                  <c:v>Low</c:v>
                </c:pt>
                <c:pt idx="377">
                  <c:v>Low</c:v>
                </c:pt>
                <c:pt idx="378">
                  <c:v>Low</c:v>
                </c:pt>
                <c:pt idx="379">
                  <c:v>Low</c:v>
                </c:pt>
                <c:pt idx="380">
                  <c:v>Low</c:v>
                </c:pt>
                <c:pt idx="381">
                  <c:v>Low</c:v>
                </c:pt>
                <c:pt idx="382">
                  <c:v>Low</c:v>
                </c:pt>
                <c:pt idx="383">
                  <c:v>Low</c:v>
                </c:pt>
                <c:pt idx="384">
                  <c:v>Low</c:v>
                </c:pt>
                <c:pt idx="385">
                  <c:v>Low</c:v>
                </c:pt>
                <c:pt idx="386">
                  <c:v>Low</c:v>
                </c:pt>
                <c:pt idx="387">
                  <c:v>Low</c:v>
                </c:pt>
                <c:pt idx="388">
                  <c:v>Low</c:v>
                </c:pt>
                <c:pt idx="389">
                  <c:v>Low</c:v>
                </c:pt>
                <c:pt idx="390">
                  <c:v>Low</c:v>
                </c:pt>
                <c:pt idx="391">
                  <c:v>Low</c:v>
                </c:pt>
                <c:pt idx="392">
                  <c:v>Low</c:v>
                </c:pt>
                <c:pt idx="393">
                  <c:v>Low</c:v>
                </c:pt>
                <c:pt idx="394">
                  <c:v>Low</c:v>
                </c:pt>
                <c:pt idx="395">
                  <c:v>Low</c:v>
                </c:pt>
                <c:pt idx="396">
                  <c:v>Low</c:v>
                </c:pt>
                <c:pt idx="397">
                  <c:v>Low</c:v>
                </c:pt>
                <c:pt idx="398">
                  <c:v>Low</c:v>
                </c:pt>
                <c:pt idx="399">
                  <c:v>Low</c:v>
                </c:pt>
                <c:pt idx="400">
                  <c:v>Low</c:v>
                </c:pt>
                <c:pt idx="401">
                  <c:v>Low</c:v>
                </c:pt>
                <c:pt idx="402">
                  <c:v>Low</c:v>
                </c:pt>
                <c:pt idx="403">
                  <c:v>Low</c:v>
                </c:pt>
                <c:pt idx="404">
                  <c:v>Low</c:v>
                </c:pt>
                <c:pt idx="405">
                  <c:v>Low</c:v>
                </c:pt>
                <c:pt idx="406">
                  <c:v>Low</c:v>
                </c:pt>
                <c:pt idx="407">
                  <c:v>Low</c:v>
                </c:pt>
                <c:pt idx="408">
                  <c:v>Low</c:v>
                </c:pt>
                <c:pt idx="409">
                  <c:v>Low</c:v>
                </c:pt>
                <c:pt idx="410">
                  <c:v>Low</c:v>
                </c:pt>
                <c:pt idx="411">
                  <c:v>Low</c:v>
                </c:pt>
                <c:pt idx="412">
                  <c:v>Low</c:v>
                </c:pt>
                <c:pt idx="413">
                  <c:v>Low</c:v>
                </c:pt>
                <c:pt idx="414">
                  <c:v>Low</c:v>
                </c:pt>
                <c:pt idx="415">
                  <c:v>Low</c:v>
                </c:pt>
                <c:pt idx="416">
                  <c:v>Low</c:v>
                </c:pt>
                <c:pt idx="417">
                  <c:v>Low</c:v>
                </c:pt>
                <c:pt idx="418">
                  <c:v>Medium</c:v>
                </c:pt>
                <c:pt idx="419">
                  <c:v>Medium</c:v>
                </c:pt>
                <c:pt idx="420">
                  <c:v>Medium</c:v>
                </c:pt>
                <c:pt idx="421">
                  <c:v>Medium</c:v>
                </c:pt>
                <c:pt idx="422">
                  <c:v>Medium</c:v>
                </c:pt>
                <c:pt idx="423">
                  <c:v>Medium</c:v>
                </c:pt>
                <c:pt idx="424">
                  <c:v>Medium</c:v>
                </c:pt>
                <c:pt idx="425">
                  <c:v>Medium</c:v>
                </c:pt>
                <c:pt idx="426">
                  <c:v>Low</c:v>
                </c:pt>
                <c:pt idx="427">
                  <c:v>Medium</c:v>
                </c:pt>
                <c:pt idx="428">
                  <c:v>Low</c:v>
                </c:pt>
                <c:pt idx="429">
                  <c:v>Medium</c:v>
                </c:pt>
                <c:pt idx="430">
                  <c:v>Low</c:v>
                </c:pt>
                <c:pt idx="431">
                  <c:v>Low</c:v>
                </c:pt>
                <c:pt idx="432">
                  <c:v>Low</c:v>
                </c:pt>
                <c:pt idx="433">
                  <c:v>Low</c:v>
                </c:pt>
                <c:pt idx="434">
                  <c:v>Low</c:v>
                </c:pt>
                <c:pt idx="435">
                  <c:v>Low</c:v>
                </c:pt>
                <c:pt idx="436">
                  <c:v>Low</c:v>
                </c:pt>
                <c:pt idx="437">
                  <c:v>Low</c:v>
                </c:pt>
                <c:pt idx="438">
                  <c:v>Low</c:v>
                </c:pt>
                <c:pt idx="439">
                  <c:v>Low</c:v>
                </c:pt>
                <c:pt idx="440">
                  <c:v>Low</c:v>
                </c:pt>
                <c:pt idx="441">
                  <c:v>Low</c:v>
                </c:pt>
                <c:pt idx="442">
                  <c:v>Low</c:v>
                </c:pt>
                <c:pt idx="443">
                  <c:v>Medium</c:v>
                </c:pt>
                <c:pt idx="444">
                  <c:v>Low</c:v>
                </c:pt>
                <c:pt idx="445">
                  <c:v>Medium</c:v>
                </c:pt>
                <c:pt idx="446">
                  <c:v>Medium</c:v>
                </c:pt>
                <c:pt idx="447">
                  <c:v>Medium</c:v>
                </c:pt>
                <c:pt idx="448">
                  <c:v>Medium</c:v>
                </c:pt>
                <c:pt idx="449">
                  <c:v>Low</c:v>
                </c:pt>
                <c:pt idx="450">
                  <c:v>Low</c:v>
                </c:pt>
                <c:pt idx="451">
                  <c:v>Low</c:v>
                </c:pt>
                <c:pt idx="452">
                  <c:v>Low</c:v>
                </c:pt>
                <c:pt idx="453">
                  <c:v>Low</c:v>
                </c:pt>
                <c:pt idx="454">
                  <c:v>Low</c:v>
                </c:pt>
                <c:pt idx="455">
                  <c:v>Low</c:v>
                </c:pt>
                <c:pt idx="456">
                  <c:v>Low</c:v>
                </c:pt>
                <c:pt idx="457">
                  <c:v>Low</c:v>
                </c:pt>
                <c:pt idx="458">
                  <c:v>Low</c:v>
                </c:pt>
                <c:pt idx="459">
                  <c:v>Low</c:v>
                </c:pt>
                <c:pt idx="460">
                  <c:v>Low</c:v>
                </c:pt>
                <c:pt idx="461">
                  <c:v>Low</c:v>
                </c:pt>
                <c:pt idx="462">
                  <c:v>Low</c:v>
                </c:pt>
                <c:pt idx="463">
                  <c:v>Low</c:v>
                </c:pt>
                <c:pt idx="464">
                  <c:v>Low</c:v>
                </c:pt>
                <c:pt idx="465">
                  <c:v>Low</c:v>
                </c:pt>
                <c:pt idx="466">
                  <c:v>Low</c:v>
                </c:pt>
                <c:pt idx="467">
                  <c:v>Low</c:v>
                </c:pt>
                <c:pt idx="468">
                  <c:v>Low</c:v>
                </c:pt>
                <c:pt idx="469">
                  <c:v>Low</c:v>
                </c:pt>
                <c:pt idx="470">
                  <c:v>Low</c:v>
                </c:pt>
                <c:pt idx="471">
                  <c:v>Low</c:v>
                </c:pt>
                <c:pt idx="472">
                  <c:v>Low</c:v>
                </c:pt>
                <c:pt idx="473">
                  <c:v>Low</c:v>
                </c:pt>
                <c:pt idx="474">
                  <c:v>Low</c:v>
                </c:pt>
                <c:pt idx="475">
                  <c:v>Low</c:v>
                </c:pt>
                <c:pt idx="476">
                  <c:v>Low</c:v>
                </c:pt>
                <c:pt idx="477">
                  <c:v>Low</c:v>
                </c:pt>
                <c:pt idx="478">
                  <c:v>Low</c:v>
                </c:pt>
                <c:pt idx="479">
                  <c:v>Low</c:v>
                </c:pt>
                <c:pt idx="480">
                  <c:v>Low</c:v>
                </c:pt>
                <c:pt idx="481">
                  <c:v>Low</c:v>
                </c:pt>
                <c:pt idx="482">
                  <c:v>Low</c:v>
                </c:pt>
                <c:pt idx="483">
                  <c:v>Low</c:v>
                </c:pt>
                <c:pt idx="484">
                  <c:v>Low</c:v>
                </c:pt>
                <c:pt idx="485">
                  <c:v>Low</c:v>
                </c:pt>
                <c:pt idx="486">
                  <c:v>Low</c:v>
                </c:pt>
                <c:pt idx="487">
                  <c:v>Low</c:v>
                </c:pt>
                <c:pt idx="488">
                  <c:v>Low</c:v>
                </c:pt>
                <c:pt idx="489">
                  <c:v>Low</c:v>
                </c:pt>
                <c:pt idx="490">
                  <c:v>Low</c:v>
                </c:pt>
                <c:pt idx="491">
                  <c:v>Low</c:v>
                </c:pt>
                <c:pt idx="492">
                  <c:v>Low</c:v>
                </c:pt>
                <c:pt idx="493">
                  <c:v>Low</c:v>
                </c:pt>
                <c:pt idx="494">
                  <c:v>Low</c:v>
                </c:pt>
                <c:pt idx="495">
                  <c:v>Low</c:v>
                </c:pt>
                <c:pt idx="496">
                  <c:v>Low</c:v>
                </c:pt>
                <c:pt idx="497">
                  <c:v>Low</c:v>
                </c:pt>
                <c:pt idx="498">
                  <c:v>Low</c:v>
                </c:pt>
                <c:pt idx="499">
                  <c:v>Low</c:v>
                </c:pt>
                <c:pt idx="500">
                  <c:v>Low</c:v>
                </c:pt>
                <c:pt idx="501">
                  <c:v>Low</c:v>
                </c:pt>
                <c:pt idx="502">
                  <c:v>Low</c:v>
                </c:pt>
                <c:pt idx="503">
                  <c:v>Low</c:v>
                </c:pt>
                <c:pt idx="504">
                  <c:v>Low</c:v>
                </c:pt>
                <c:pt idx="505">
                  <c:v>Low</c:v>
                </c:pt>
                <c:pt idx="506">
                  <c:v>Low</c:v>
                </c:pt>
                <c:pt idx="507">
                  <c:v>Low</c:v>
                </c:pt>
                <c:pt idx="508">
                  <c:v>Low</c:v>
                </c:pt>
                <c:pt idx="509">
                  <c:v>Low</c:v>
                </c:pt>
                <c:pt idx="510">
                  <c:v>Low</c:v>
                </c:pt>
                <c:pt idx="511">
                  <c:v>Low</c:v>
                </c:pt>
                <c:pt idx="512">
                  <c:v>Low</c:v>
                </c:pt>
                <c:pt idx="513">
                  <c:v>Low</c:v>
                </c:pt>
                <c:pt idx="514">
                  <c:v>Low</c:v>
                </c:pt>
                <c:pt idx="515">
                  <c:v>Low</c:v>
                </c:pt>
                <c:pt idx="516">
                  <c:v>Low</c:v>
                </c:pt>
                <c:pt idx="517">
                  <c:v>Low</c:v>
                </c:pt>
                <c:pt idx="518">
                  <c:v>Low</c:v>
                </c:pt>
                <c:pt idx="519">
                  <c:v>Low</c:v>
                </c:pt>
                <c:pt idx="520">
                  <c:v>Low</c:v>
                </c:pt>
                <c:pt idx="521">
                  <c:v>Low</c:v>
                </c:pt>
                <c:pt idx="522">
                  <c:v>Low</c:v>
                </c:pt>
                <c:pt idx="523">
                  <c:v>Low</c:v>
                </c:pt>
                <c:pt idx="524">
                  <c:v>Low</c:v>
                </c:pt>
                <c:pt idx="525">
                  <c:v>Low</c:v>
                </c:pt>
                <c:pt idx="526">
                  <c:v>Low</c:v>
                </c:pt>
                <c:pt idx="527">
                  <c:v>Low</c:v>
                </c:pt>
                <c:pt idx="528">
                  <c:v>Low</c:v>
                </c:pt>
                <c:pt idx="529">
                  <c:v>Low</c:v>
                </c:pt>
                <c:pt idx="530">
                  <c:v>Low</c:v>
                </c:pt>
                <c:pt idx="531">
                  <c:v>Low</c:v>
                </c:pt>
                <c:pt idx="532">
                  <c:v>Low</c:v>
                </c:pt>
                <c:pt idx="533">
                  <c:v>Low</c:v>
                </c:pt>
                <c:pt idx="534">
                  <c:v>Low</c:v>
                </c:pt>
                <c:pt idx="535">
                  <c:v>Low</c:v>
                </c:pt>
                <c:pt idx="536">
                  <c:v>Low</c:v>
                </c:pt>
                <c:pt idx="537">
                  <c:v>Low</c:v>
                </c:pt>
                <c:pt idx="538">
                  <c:v>Low</c:v>
                </c:pt>
                <c:pt idx="539">
                  <c:v>Low</c:v>
                </c:pt>
                <c:pt idx="540">
                  <c:v>Low</c:v>
                </c:pt>
                <c:pt idx="541">
                  <c:v>Low</c:v>
                </c:pt>
                <c:pt idx="542">
                  <c:v>Low</c:v>
                </c:pt>
                <c:pt idx="543">
                  <c:v>Low</c:v>
                </c:pt>
                <c:pt idx="544">
                  <c:v>Low</c:v>
                </c:pt>
                <c:pt idx="545">
                  <c:v>Low</c:v>
                </c:pt>
                <c:pt idx="546">
                  <c:v>Low</c:v>
                </c:pt>
                <c:pt idx="547">
                  <c:v>Low</c:v>
                </c:pt>
                <c:pt idx="548">
                  <c:v>Low</c:v>
                </c:pt>
                <c:pt idx="549">
                  <c:v>Low</c:v>
                </c:pt>
                <c:pt idx="550">
                  <c:v>Low</c:v>
                </c:pt>
                <c:pt idx="551">
                  <c:v>Low</c:v>
                </c:pt>
                <c:pt idx="552">
                  <c:v>Low</c:v>
                </c:pt>
                <c:pt idx="553">
                  <c:v>Low</c:v>
                </c:pt>
                <c:pt idx="554">
                  <c:v>Low</c:v>
                </c:pt>
                <c:pt idx="555">
                  <c:v>Low</c:v>
                </c:pt>
                <c:pt idx="556">
                  <c:v>Low</c:v>
                </c:pt>
                <c:pt idx="557">
                  <c:v>Low</c:v>
                </c:pt>
                <c:pt idx="558">
                  <c:v>Low</c:v>
                </c:pt>
                <c:pt idx="559">
                  <c:v>Low</c:v>
                </c:pt>
                <c:pt idx="560">
                  <c:v>Low</c:v>
                </c:pt>
                <c:pt idx="561">
                  <c:v>Medium</c:v>
                </c:pt>
                <c:pt idx="562">
                  <c:v>Medium</c:v>
                </c:pt>
                <c:pt idx="563">
                  <c:v>Medium</c:v>
                </c:pt>
                <c:pt idx="564">
                  <c:v>Medium</c:v>
                </c:pt>
                <c:pt idx="565">
                  <c:v>Medium</c:v>
                </c:pt>
                <c:pt idx="566">
                  <c:v>Low</c:v>
                </c:pt>
                <c:pt idx="567">
                  <c:v>Low</c:v>
                </c:pt>
                <c:pt idx="568">
                  <c:v>Low</c:v>
                </c:pt>
                <c:pt idx="569">
                  <c:v>Low</c:v>
                </c:pt>
                <c:pt idx="570">
                  <c:v>Low</c:v>
                </c:pt>
                <c:pt idx="571">
                  <c:v>Low</c:v>
                </c:pt>
                <c:pt idx="572">
                  <c:v>Low</c:v>
                </c:pt>
                <c:pt idx="573">
                  <c:v>Low</c:v>
                </c:pt>
                <c:pt idx="574">
                  <c:v>Low</c:v>
                </c:pt>
                <c:pt idx="575">
                  <c:v>Low</c:v>
                </c:pt>
                <c:pt idx="576">
                  <c:v>Low</c:v>
                </c:pt>
                <c:pt idx="577">
                  <c:v>Low</c:v>
                </c:pt>
                <c:pt idx="578">
                  <c:v>Low</c:v>
                </c:pt>
                <c:pt idx="579">
                  <c:v>Low</c:v>
                </c:pt>
                <c:pt idx="580">
                  <c:v>Low</c:v>
                </c:pt>
                <c:pt idx="581">
                  <c:v>Low</c:v>
                </c:pt>
                <c:pt idx="582">
                  <c:v>Low</c:v>
                </c:pt>
                <c:pt idx="583">
                  <c:v>Low</c:v>
                </c:pt>
                <c:pt idx="584">
                  <c:v>Low</c:v>
                </c:pt>
                <c:pt idx="585">
                  <c:v>Low</c:v>
                </c:pt>
                <c:pt idx="586">
                  <c:v>Low</c:v>
                </c:pt>
                <c:pt idx="587">
                  <c:v>Low</c:v>
                </c:pt>
                <c:pt idx="588">
                  <c:v>Low</c:v>
                </c:pt>
                <c:pt idx="589">
                  <c:v>Low</c:v>
                </c:pt>
                <c:pt idx="590">
                  <c:v>Low</c:v>
                </c:pt>
                <c:pt idx="591">
                  <c:v>Low</c:v>
                </c:pt>
                <c:pt idx="592">
                  <c:v>Low</c:v>
                </c:pt>
                <c:pt idx="593">
                  <c:v>Low</c:v>
                </c:pt>
                <c:pt idx="594">
                  <c:v>Low</c:v>
                </c:pt>
                <c:pt idx="595">
                  <c:v>Low</c:v>
                </c:pt>
                <c:pt idx="596">
                  <c:v>Low</c:v>
                </c:pt>
                <c:pt idx="597">
                  <c:v>Low</c:v>
                </c:pt>
                <c:pt idx="598">
                  <c:v>Low</c:v>
                </c:pt>
                <c:pt idx="599">
                  <c:v>Low</c:v>
                </c:pt>
                <c:pt idx="600">
                  <c:v>Low</c:v>
                </c:pt>
                <c:pt idx="601">
                  <c:v>Low</c:v>
                </c:pt>
                <c:pt idx="602">
                  <c:v>Low</c:v>
                </c:pt>
                <c:pt idx="603">
                  <c:v>Low</c:v>
                </c:pt>
                <c:pt idx="604">
                  <c:v>Low</c:v>
                </c:pt>
                <c:pt idx="605">
                  <c:v>Low</c:v>
                </c:pt>
                <c:pt idx="606">
                  <c:v>Low</c:v>
                </c:pt>
                <c:pt idx="607">
                  <c:v>Low</c:v>
                </c:pt>
                <c:pt idx="608">
                  <c:v>Low</c:v>
                </c:pt>
                <c:pt idx="609">
                  <c:v>Low</c:v>
                </c:pt>
                <c:pt idx="610">
                  <c:v>Low</c:v>
                </c:pt>
                <c:pt idx="611">
                  <c:v>Low</c:v>
                </c:pt>
                <c:pt idx="612">
                  <c:v>Low</c:v>
                </c:pt>
                <c:pt idx="613">
                  <c:v>Low</c:v>
                </c:pt>
                <c:pt idx="614">
                  <c:v>Low</c:v>
                </c:pt>
                <c:pt idx="615">
                  <c:v>Low</c:v>
                </c:pt>
                <c:pt idx="616">
                  <c:v>Low</c:v>
                </c:pt>
                <c:pt idx="617">
                  <c:v>Low</c:v>
                </c:pt>
                <c:pt idx="618">
                  <c:v>Low</c:v>
                </c:pt>
                <c:pt idx="619">
                  <c:v>Low</c:v>
                </c:pt>
                <c:pt idx="620">
                  <c:v>Low</c:v>
                </c:pt>
                <c:pt idx="621">
                  <c:v>Low</c:v>
                </c:pt>
                <c:pt idx="622">
                  <c:v>Low</c:v>
                </c:pt>
                <c:pt idx="623">
                  <c:v>Low</c:v>
                </c:pt>
                <c:pt idx="624">
                  <c:v>Low</c:v>
                </c:pt>
                <c:pt idx="625">
                  <c:v>Low</c:v>
                </c:pt>
                <c:pt idx="626">
                  <c:v>Low</c:v>
                </c:pt>
                <c:pt idx="627">
                  <c:v>Low</c:v>
                </c:pt>
                <c:pt idx="628">
                  <c:v>Low</c:v>
                </c:pt>
                <c:pt idx="629">
                  <c:v>Low</c:v>
                </c:pt>
                <c:pt idx="630">
                  <c:v>Low</c:v>
                </c:pt>
                <c:pt idx="631">
                  <c:v>Low</c:v>
                </c:pt>
                <c:pt idx="632">
                  <c:v>Low</c:v>
                </c:pt>
                <c:pt idx="633">
                  <c:v>Low</c:v>
                </c:pt>
                <c:pt idx="634">
                  <c:v>Low</c:v>
                </c:pt>
                <c:pt idx="635">
                  <c:v>Low</c:v>
                </c:pt>
                <c:pt idx="636">
                  <c:v>Low</c:v>
                </c:pt>
                <c:pt idx="637">
                  <c:v>Low</c:v>
                </c:pt>
                <c:pt idx="638">
                  <c:v>Low</c:v>
                </c:pt>
                <c:pt idx="639">
                  <c:v>Low</c:v>
                </c:pt>
                <c:pt idx="640">
                  <c:v>Low</c:v>
                </c:pt>
                <c:pt idx="641">
                  <c:v>Low</c:v>
                </c:pt>
                <c:pt idx="642">
                  <c:v>Low</c:v>
                </c:pt>
                <c:pt idx="643">
                  <c:v>Low</c:v>
                </c:pt>
                <c:pt idx="644">
                  <c:v>Low</c:v>
                </c:pt>
                <c:pt idx="645">
                  <c:v>Low</c:v>
                </c:pt>
                <c:pt idx="646">
                  <c:v>Low</c:v>
                </c:pt>
                <c:pt idx="647">
                  <c:v>Low</c:v>
                </c:pt>
                <c:pt idx="648">
                  <c:v>Low</c:v>
                </c:pt>
                <c:pt idx="649">
                  <c:v>Low</c:v>
                </c:pt>
                <c:pt idx="650">
                  <c:v>Low</c:v>
                </c:pt>
                <c:pt idx="651">
                  <c:v>Low</c:v>
                </c:pt>
                <c:pt idx="652">
                  <c:v>Medium</c:v>
                </c:pt>
                <c:pt idx="653">
                  <c:v>Low</c:v>
                </c:pt>
                <c:pt idx="654">
                  <c:v>Medium</c:v>
                </c:pt>
                <c:pt idx="655">
                  <c:v>Medium</c:v>
                </c:pt>
                <c:pt idx="656">
                  <c:v>Medium</c:v>
                </c:pt>
                <c:pt idx="657">
                  <c:v>Low</c:v>
                </c:pt>
                <c:pt idx="658">
                  <c:v>Low</c:v>
                </c:pt>
                <c:pt idx="659">
                  <c:v>Low</c:v>
                </c:pt>
                <c:pt idx="660">
                  <c:v>Low</c:v>
                </c:pt>
                <c:pt idx="661">
                  <c:v>Low</c:v>
                </c:pt>
                <c:pt idx="662">
                  <c:v>Low</c:v>
                </c:pt>
                <c:pt idx="663">
                  <c:v>Low</c:v>
                </c:pt>
                <c:pt idx="664">
                  <c:v>Low</c:v>
                </c:pt>
                <c:pt idx="665">
                  <c:v>Low</c:v>
                </c:pt>
                <c:pt idx="666">
                  <c:v>Low</c:v>
                </c:pt>
                <c:pt idx="667">
                  <c:v>Low</c:v>
                </c:pt>
                <c:pt idx="668">
                  <c:v>Low</c:v>
                </c:pt>
                <c:pt idx="669">
                  <c:v>Low</c:v>
                </c:pt>
                <c:pt idx="670">
                  <c:v>Low</c:v>
                </c:pt>
                <c:pt idx="671">
                  <c:v>Low</c:v>
                </c:pt>
                <c:pt idx="672">
                  <c:v>Low</c:v>
                </c:pt>
                <c:pt idx="673">
                  <c:v>Low</c:v>
                </c:pt>
                <c:pt idx="674">
                  <c:v>Low</c:v>
                </c:pt>
                <c:pt idx="675">
                  <c:v>Low</c:v>
                </c:pt>
                <c:pt idx="676">
                  <c:v>Low</c:v>
                </c:pt>
                <c:pt idx="677">
                  <c:v>Low</c:v>
                </c:pt>
                <c:pt idx="678">
                  <c:v>Low</c:v>
                </c:pt>
                <c:pt idx="679">
                  <c:v>Low</c:v>
                </c:pt>
                <c:pt idx="680">
                  <c:v>Low</c:v>
                </c:pt>
                <c:pt idx="681">
                  <c:v>Low</c:v>
                </c:pt>
                <c:pt idx="682">
                  <c:v>Low</c:v>
                </c:pt>
                <c:pt idx="683">
                  <c:v>Medium</c:v>
                </c:pt>
                <c:pt idx="684">
                  <c:v>Low</c:v>
                </c:pt>
                <c:pt idx="685">
                  <c:v>Low</c:v>
                </c:pt>
                <c:pt idx="686">
                  <c:v>Low</c:v>
                </c:pt>
                <c:pt idx="687">
                  <c:v>Low</c:v>
                </c:pt>
                <c:pt idx="688">
                  <c:v>Low</c:v>
                </c:pt>
                <c:pt idx="689">
                  <c:v>Low</c:v>
                </c:pt>
                <c:pt idx="690">
                  <c:v>Low</c:v>
                </c:pt>
                <c:pt idx="691">
                  <c:v>Low</c:v>
                </c:pt>
                <c:pt idx="692">
                  <c:v>Low</c:v>
                </c:pt>
                <c:pt idx="693">
                  <c:v>Low</c:v>
                </c:pt>
                <c:pt idx="694">
                  <c:v>Low</c:v>
                </c:pt>
                <c:pt idx="695">
                  <c:v>Low</c:v>
                </c:pt>
                <c:pt idx="696">
                  <c:v>Low</c:v>
                </c:pt>
                <c:pt idx="697">
                  <c:v>Low</c:v>
                </c:pt>
                <c:pt idx="698">
                  <c:v>Low</c:v>
                </c:pt>
                <c:pt idx="699">
                  <c:v>Low</c:v>
                </c:pt>
                <c:pt idx="700">
                  <c:v>Low</c:v>
                </c:pt>
                <c:pt idx="701">
                  <c:v>Low</c:v>
                </c:pt>
                <c:pt idx="702">
                  <c:v>Low</c:v>
                </c:pt>
                <c:pt idx="703">
                  <c:v>Low</c:v>
                </c:pt>
                <c:pt idx="704">
                  <c:v>Low</c:v>
                </c:pt>
                <c:pt idx="705">
                  <c:v>Low</c:v>
                </c:pt>
                <c:pt idx="706">
                  <c:v>Low</c:v>
                </c:pt>
                <c:pt idx="707">
                  <c:v>Low</c:v>
                </c:pt>
                <c:pt idx="708">
                  <c:v>Low</c:v>
                </c:pt>
                <c:pt idx="709">
                  <c:v>Low</c:v>
                </c:pt>
                <c:pt idx="710">
                  <c:v>Low</c:v>
                </c:pt>
                <c:pt idx="711">
                  <c:v>Low</c:v>
                </c:pt>
                <c:pt idx="712">
                  <c:v>Low</c:v>
                </c:pt>
                <c:pt idx="713">
                  <c:v>Low</c:v>
                </c:pt>
                <c:pt idx="714">
                  <c:v>Low</c:v>
                </c:pt>
                <c:pt idx="715">
                  <c:v>Low</c:v>
                </c:pt>
                <c:pt idx="716">
                  <c:v>Low</c:v>
                </c:pt>
                <c:pt idx="717">
                  <c:v>Low</c:v>
                </c:pt>
                <c:pt idx="718">
                  <c:v>Low</c:v>
                </c:pt>
                <c:pt idx="719">
                  <c:v>Low</c:v>
                </c:pt>
                <c:pt idx="720">
                  <c:v>Low</c:v>
                </c:pt>
                <c:pt idx="721">
                  <c:v>Low</c:v>
                </c:pt>
                <c:pt idx="722">
                  <c:v>Low</c:v>
                </c:pt>
                <c:pt idx="723">
                  <c:v>Low</c:v>
                </c:pt>
                <c:pt idx="724">
                  <c:v>Medium</c:v>
                </c:pt>
                <c:pt idx="725">
                  <c:v>Medium</c:v>
                </c:pt>
                <c:pt idx="726">
                  <c:v>Medium</c:v>
                </c:pt>
                <c:pt idx="727">
                  <c:v>Medium</c:v>
                </c:pt>
                <c:pt idx="728">
                  <c:v>Medium</c:v>
                </c:pt>
                <c:pt idx="729">
                  <c:v>Low</c:v>
                </c:pt>
                <c:pt idx="730">
                  <c:v>Low</c:v>
                </c:pt>
                <c:pt idx="731">
                  <c:v>Low</c:v>
                </c:pt>
                <c:pt idx="732">
                  <c:v>Low</c:v>
                </c:pt>
                <c:pt idx="733">
                  <c:v>Low</c:v>
                </c:pt>
                <c:pt idx="734">
                  <c:v>Low</c:v>
                </c:pt>
                <c:pt idx="735">
                  <c:v>Low</c:v>
                </c:pt>
                <c:pt idx="736">
                  <c:v>Low</c:v>
                </c:pt>
                <c:pt idx="737">
                  <c:v>Low</c:v>
                </c:pt>
                <c:pt idx="738">
                  <c:v>Low</c:v>
                </c:pt>
                <c:pt idx="739">
                  <c:v>Low</c:v>
                </c:pt>
                <c:pt idx="740">
                  <c:v>Low</c:v>
                </c:pt>
                <c:pt idx="741">
                  <c:v>Low</c:v>
                </c:pt>
                <c:pt idx="742">
                  <c:v>Low</c:v>
                </c:pt>
                <c:pt idx="743">
                  <c:v>Low</c:v>
                </c:pt>
                <c:pt idx="744">
                  <c:v>Low</c:v>
                </c:pt>
                <c:pt idx="745">
                  <c:v>Low</c:v>
                </c:pt>
                <c:pt idx="746">
                  <c:v>Low</c:v>
                </c:pt>
                <c:pt idx="747">
                  <c:v>Low</c:v>
                </c:pt>
                <c:pt idx="748">
                  <c:v>Low</c:v>
                </c:pt>
                <c:pt idx="749">
                  <c:v>Low</c:v>
                </c:pt>
                <c:pt idx="750">
                  <c:v>Low</c:v>
                </c:pt>
                <c:pt idx="751">
                  <c:v>Low</c:v>
                </c:pt>
                <c:pt idx="752">
                  <c:v>Low</c:v>
                </c:pt>
                <c:pt idx="753">
                  <c:v>Low</c:v>
                </c:pt>
                <c:pt idx="754">
                  <c:v>Low</c:v>
                </c:pt>
                <c:pt idx="755">
                  <c:v>Low</c:v>
                </c:pt>
                <c:pt idx="756">
                  <c:v>Low</c:v>
                </c:pt>
                <c:pt idx="757">
                  <c:v>Low</c:v>
                </c:pt>
                <c:pt idx="758">
                  <c:v>Low</c:v>
                </c:pt>
                <c:pt idx="759">
                  <c:v>Low</c:v>
                </c:pt>
                <c:pt idx="760">
                  <c:v>Low</c:v>
                </c:pt>
                <c:pt idx="761">
                  <c:v>Low</c:v>
                </c:pt>
                <c:pt idx="762">
                  <c:v>Low</c:v>
                </c:pt>
                <c:pt idx="763">
                  <c:v>Low</c:v>
                </c:pt>
                <c:pt idx="764">
                  <c:v>Low</c:v>
                </c:pt>
                <c:pt idx="765">
                  <c:v>Low</c:v>
                </c:pt>
                <c:pt idx="766">
                  <c:v>Low</c:v>
                </c:pt>
                <c:pt idx="767">
                  <c:v>Low</c:v>
                </c:pt>
                <c:pt idx="768">
                  <c:v>Low</c:v>
                </c:pt>
                <c:pt idx="769">
                  <c:v>Low</c:v>
                </c:pt>
                <c:pt idx="770">
                  <c:v>Low</c:v>
                </c:pt>
                <c:pt idx="771">
                  <c:v>Low</c:v>
                </c:pt>
                <c:pt idx="772">
                  <c:v>Low</c:v>
                </c:pt>
                <c:pt idx="773">
                  <c:v>Low</c:v>
                </c:pt>
                <c:pt idx="774">
                  <c:v>Low</c:v>
                </c:pt>
                <c:pt idx="775">
                  <c:v>Low</c:v>
                </c:pt>
                <c:pt idx="776">
                  <c:v>Low</c:v>
                </c:pt>
                <c:pt idx="777">
                  <c:v>Low</c:v>
                </c:pt>
                <c:pt idx="778">
                  <c:v>Low</c:v>
                </c:pt>
                <c:pt idx="779">
                  <c:v>Low</c:v>
                </c:pt>
                <c:pt idx="780">
                  <c:v>Low</c:v>
                </c:pt>
                <c:pt idx="781">
                  <c:v>Low</c:v>
                </c:pt>
                <c:pt idx="782">
                  <c:v>Low</c:v>
                </c:pt>
                <c:pt idx="783">
                  <c:v>Low</c:v>
                </c:pt>
                <c:pt idx="784">
                  <c:v>Low</c:v>
                </c:pt>
                <c:pt idx="785">
                  <c:v>Low</c:v>
                </c:pt>
                <c:pt idx="786">
                  <c:v>Low</c:v>
                </c:pt>
                <c:pt idx="787">
                  <c:v>Low</c:v>
                </c:pt>
                <c:pt idx="788">
                  <c:v>Low</c:v>
                </c:pt>
                <c:pt idx="789">
                  <c:v>Low</c:v>
                </c:pt>
                <c:pt idx="790">
                  <c:v>Low</c:v>
                </c:pt>
                <c:pt idx="791">
                  <c:v>Low</c:v>
                </c:pt>
                <c:pt idx="792">
                  <c:v>Low</c:v>
                </c:pt>
                <c:pt idx="793">
                  <c:v>Low</c:v>
                </c:pt>
                <c:pt idx="794">
                  <c:v>Low</c:v>
                </c:pt>
                <c:pt idx="795">
                  <c:v>Low</c:v>
                </c:pt>
                <c:pt idx="796">
                  <c:v>Low</c:v>
                </c:pt>
                <c:pt idx="797">
                  <c:v>Low</c:v>
                </c:pt>
                <c:pt idx="798">
                  <c:v>Low</c:v>
                </c:pt>
                <c:pt idx="799">
                  <c:v>Low</c:v>
                </c:pt>
                <c:pt idx="800">
                  <c:v>Low</c:v>
                </c:pt>
                <c:pt idx="801">
                  <c:v>Low</c:v>
                </c:pt>
                <c:pt idx="802">
                  <c:v>Low</c:v>
                </c:pt>
                <c:pt idx="803">
                  <c:v>Low</c:v>
                </c:pt>
                <c:pt idx="804">
                  <c:v>Low</c:v>
                </c:pt>
                <c:pt idx="805">
                  <c:v>Low</c:v>
                </c:pt>
                <c:pt idx="806">
                  <c:v>Low</c:v>
                </c:pt>
                <c:pt idx="807">
                  <c:v>Low</c:v>
                </c:pt>
                <c:pt idx="808">
                  <c:v>Low</c:v>
                </c:pt>
                <c:pt idx="809">
                  <c:v>Low</c:v>
                </c:pt>
                <c:pt idx="810">
                  <c:v>Low</c:v>
                </c:pt>
                <c:pt idx="811">
                  <c:v>Low</c:v>
                </c:pt>
                <c:pt idx="812">
                  <c:v>Low</c:v>
                </c:pt>
                <c:pt idx="813">
                  <c:v>Low</c:v>
                </c:pt>
                <c:pt idx="814">
                  <c:v>Low</c:v>
                </c:pt>
                <c:pt idx="815">
                  <c:v>Low</c:v>
                </c:pt>
                <c:pt idx="816">
                  <c:v>Medium</c:v>
                </c:pt>
                <c:pt idx="817">
                  <c:v>Medium</c:v>
                </c:pt>
                <c:pt idx="818">
                  <c:v>Medium</c:v>
                </c:pt>
                <c:pt idx="819">
                  <c:v>Medium</c:v>
                </c:pt>
                <c:pt idx="820">
                  <c:v>Medium</c:v>
                </c:pt>
                <c:pt idx="821">
                  <c:v>Medium</c:v>
                </c:pt>
                <c:pt idx="822">
                  <c:v>Medium</c:v>
                </c:pt>
                <c:pt idx="823">
                  <c:v>Medium</c:v>
                </c:pt>
                <c:pt idx="824">
                  <c:v>Low</c:v>
                </c:pt>
                <c:pt idx="825">
                  <c:v>Low</c:v>
                </c:pt>
                <c:pt idx="826">
                  <c:v>Medium</c:v>
                </c:pt>
                <c:pt idx="827">
                  <c:v>Medium</c:v>
                </c:pt>
                <c:pt idx="828">
                  <c:v>Low</c:v>
                </c:pt>
                <c:pt idx="829">
                  <c:v>Low</c:v>
                </c:pt>
                <c:pt idx="830">
                  <c:v>Low</c:v>
                </c:pt>
                <c:pt idx="831">
                  <c:v>Low</c:v>
                </c:pt>
                <c:pt idx="832">
                  <c:v>Low</c:v>
                </c:pt>
                <c:pt idx="833">
                  <c:v>Low</c:v>
                </c:pt>
                <c:pt idx="834">
                  <c:v>Low</c:v>
                </c:pt>
                <c:pt idx="835">
                  <c:v>Low</c:v>
                </c:pt>
                <c:pt idx="836">
                  <c:v>Low</c:v>
                </c:pt>
                <c:pt idx="837">
                  <c:v>Low</c:v>
                </c:pt>
                <c:pt idx="838">
                  <c:v>Low</c:v>
                </c:pt>
                <c:pt idx="839">
                  <c:v>Low</c:v>
                </c:pt>
                <c:pt idx="840">
                  <c:v>Medium</c:v>
                </c:pt>
                <c:pt idx="841">
                  <c:v>Medium</c:v>
                </c:pt>
                <c:pt idx="842">
                  <c:v>Medium</c:v>
                </c:pt>
                <c:pt idx="843">
                  <c:v>Medium</c:v>
                </c:pt>
                <c:pt idx="844">
                  <c:v>Medium</c:v>
                </c:pt>
                <c:pt idx="845">
                  <c:v>Medium</c:v>
                </c:pt>
                <c:pt idx="846">
                  <c:v>Medium</c:v>
                </c:pt>
                <c:pt idx="847">
                  <c:v>Medium</c:v>
                </c:pt>
                <c:pt idx="848">
                  <c:v>Medium</c:v>
                </c:pt>
                <c:pt idx="849">
                  <c:v>Medium</c:v>
                </c:pt>
                <c:pt idx="850">
                  <c:v>Medium</c:v>
                </c:pt>
                <c:pt idx="851">
                  <c:v>Medium</c:v>
                </c:pt>
                <c:pt idx="852">
                  <c:v>Medium</c:v>
                </c:pt>
                <c:pt idx="853">
                  <c:v>Medium</c:v>
                </c:pt>
                <c:pt idx="854">
                  <c:v>Medium</c:v>
                </c:pt>
                <c:pt idx="855">
                  <c:v>Low</c:v>
                </c:pt>
                <c:pt idx="856">
                  <c:v>Low</c:v>
                </c:pt>
                <c:pt idx="857">
                  <c:v>Low</c:v>
                </c:pt>
                <c:pt idx="858">
                  <c:v>Low</c:v>
                </c:pt>
                <c:pt idx="859">
                  <c:v>Low</c:v>
                </c:pt>
                <c:pt idx="860">
                  <c:v>Low</c:v>
                </c:pt>
                <c:pt idx="861">
                  <c:v>Low</c:v>
                </c:pt>
                <c:pt idx="862">
                  <c:v>Low</c:v>
                </c:pt>
                <c:pt idx="863">
                  <c:v>Low</c:v>
                </c:pt>
                <c:pt idx="864">
                  <c:v>Low</c:v>
                </c:pt>
                <c:pt idx="865">
                  <c:v>Low</c:v>
                </c:pt>
                <c:pt idx="866">
                  <c:v>Low</c:v>
                </c:pt>
                <c:pt idx="867">
                  <c:v>Low</c:v>
                </c:pt>
                <c:pt idx="868">
                  <c:v>Low</c:v>
                </c:pt>
                <c:pt idx="869">
                  <c:v>Low</c:v>
                </c:pt>
                <c:pt idx="870">
                  <c:v>Low</c:v>
                </c:pt>
                <c:pt idx="871">
                  <c:v>Low</c:v>
                </c:pt>
                <c:pt idx="872">
                  <c:v>Low</c:v>
                </c:pt>
                <c:pt idx="873">
                  <c:v>Low</c:v>
                </c:pt>
                <c:pt idx="874">
                  <c:v>Low</c:v>
                </c:pt>
                <c:pt idx="875">
                  <c:v>Low</c:v>
                </c:pt>
                <c:pt idx="876">
                  <c:v>Low</c:v>
                </c:pt>
                <c:pt idx="877">
                  <c:v>Low</c:v>
                </c:pt>
                <c:pt idx="878">
                  <c:v>Low</c:v>
                </c:pt>
                <c:pt idx="879">
                  <c:v>Low</c:v>
                </c:pt>
                <c:pt idx="880">
                  <c:v>Low</c:v>
                </c:pt>
                <c:pt idx="881">
                  <c:v>Low</c:v>
                </c:pt>
                <c:pt idx="882">
                  <c:v>Low</c:v>
                </c:pt>
                <c:pt idx="883">
                  <c:v>Low</c:v>
                </c:pt>
                <c:pt idx="884">
                  <c:v>Low</c:v>
                </c:pt>
                <c:pt idx="885">
                  <c:v>Low</c:v>
                </c:pt>
                <c:pt idx="886">
                  <c:v>Low</c:v>
                </c:pt>
                <c:pt idx="887">
                  <c:v>Low</c:v>
                </c:pt>
                <c:pt idx="888">
                  <c:v>Low</c:v>
                </c:pt>
                <c:pt idx="889">
                  <c:v>Low</c:v>
                </c:pt>
                <c:pt idx="890">
                  <c:v>Low</c:v>
                </c:pt>
                <c:pt idx="891">
                  <c:v>Low</c:v>
                </c:pt>
                <c:pt idx="892">
                  <c:v>Low</c:v>
                </c:pt>
                <c:pt idx="893">
                  <c:v>Low</c:v>
                </c:pt>
                <c:pt idx="894">
                  <c:v>Low</c:v>
                </c:pt>
                <c:pt idx="895">
                  <c:v>Low</c:v>
                </c:pt>
                <c:pt idx="896">
                  <c:v>Low</c:v>
                </c:pt>
                <c:pt idx="897">
                  <c:v>Low</c:v>
                </c:pt>
                <c:pt idx="898">
                  <c:v>Low</c:v>
                </c:pt>
                <c:pt idx="899">
                  <c:v>Low</c:v>
                </c:pt>
                <c:pt idx="900">
                  <c:v>Low</c:v>
                </c:pt>
                <c:pt idx="901">
                  <c:v>Low</c:v>
                </c:pt>
                <c:pt idx="902">
                  <c:v>Low</c:v>
                </c:pt>
                <c:pt idx="903">
                  <c:v>Low</c:v>
                </c:pt>
                <c:pt idx="904">
                  <c:v>Low</c:v>
                </c:pt>
                <c:pt idx="905">
                  <c:v>Low</c:v>
                </c:pt>
                <c:pt idx="906">
                  <c:v>Low</c:v>
                </c:pt>
                <c:pt idx="907">
                  <c:v>Low</c:v>
                </c:pt>
                <c:pt idx="908">
                  <c:v>Low</c:v>
                </c:pt>
                <c:pt idx="909">
                  <c:v>Low</c:v>
                </c:pt>
                <c:pt idx="910">
                  <c:v>Low</c:v>
                </c:pt>
                <c:pt idx="911">
                  <c:v>Low</c:v>
                </c:pt>
                <c:pt idx="912">
                  <c:v>Low</c:v>
                </c:pt>
                <c:pt idx="913">
                  <c:v>Low</c:v>
                </c:pt>
                <c:pt idx="914">
                  <c:v>Low</c:v>
                </c:pt>
                <c:pt idx="915">
                  <c:v>Low</c:v>
                </c:pt>
                <c:pt idx="916">
                  <c:v>Low</c:v>
                </c:pt>
                <c:pt idx="917">
                  <c:v>Low</c:v>
                </c:pt>
                <c:pt idx="918">
                  <c:v>Low</c:v>
                </c:pt>
                <c:pt idx="919">
                  <c:v>Low</c:v>
                </c:pt>
                <c:pt idx="920">
                  <c:v>Low</c:v>
                </c:pt>
                <c:pt idx="921">
                  <c:v>Low</c:v>
                </c:pt>
                <c:pt idx="922">
                  <c:v>Low</c:v>
                </c:pt>
                <c:pt idx="923">
                  <c:v>Low</c:v>
                </c:pt>
                <c:pt idx="924">
                  <c:v>Low</c:v>
                </c:pt>
                <c:pt idx="925">
                  <c:v>Low</c:v>
                </c:pt>
                <c:pt idx="926">
                  <c:v>Low</c:v>
                </c:pt>
                <c:pt idx="927">
                  <c:v>Low</c:v>
                </c:pt>
                <c:pt idx="928">
                  <c:v>Low</c:v>
                </c:pt>
                <c:pt idx="929">
                  <c:v>Low</c:v>
                </c:pt>
                <c:pt idx="930">
                  <c:v>Low</c:v>
                </c:pt>
                <c:pt idx="931">
                  <c:v>Low</c:v>
                </c:pt>
                <c:pt idx="932">
                  <c:v>Low</c:v>
                </c:pt>
                <c:pt idx="933">
                  <c:v>Low</c:v>
                </c:pt>
                <c:pt idx="934">
                  <c:v>Low</c:v>
                </c:pt>
                <c:pt idx="935">
                  <c:v>Low</c:v>
                </c:pt>
                <c:pt idx="936">
                  <c:v>Medium</c:v>
                </c:pt>
                <c:pt idx="937">
                  <c:v>Low</c:v>
                </c:pt>
                <c:pt idx="938">
                  <c:v>Medium</c:v>
                </c:pt>
                <c:pt idx="939">
                  <c:v>Medium</c:v>
                </c:pt>
                <c:pt idx="940">
                  <c:v>Medium</c:v>
                </c:pt>
                <c:pt idx="941">
                  <c:v>Low</c:v>
                </c:pt>
                <c:pt idx="942">
                  <c:v>Low</c:v>
                </c:pt>
                <c:pt idx="943">
                  <c:v>Low</c:v>
                </c:pt>
                <c:pt idx="944">
                  <c:v>Low</c:v>
                </c:pt>
                <c:pt idx="945">
                  <c:v>Low</c:v>
                </c:pt>
                <c:pt idx="946">
                  <c:v>Low</c:v>
                </c:pt>
                <c:pt idx="947">
                  <c:v>Low</c:v>
                </c:pt>
                <c:pt idx="948">
                  <c:v>Low</c:v>
                </c:pt>
                <c:pt idx="949">
                  <c:v>Low</c:v>
                </c:pt>
                <c:pt idx="950">
                  <c:v>Low</c:v>
                </c:pt>
                <c:pt idx="951">
                  <c:v>Low</c:v>
                </c:pt>
                <c:pt idx="952">
                  <c:v>Low</c:v>
                </c:pt>
                <c:pt idx="953">
                  <c:v>Low</c:v>
                </c:pt>
                <c:pt idx="954">
                  <c:v>Low</c:v>
                </c:pt>
                <c:pt idx="955">
                  <c:v>Low</c:v>
                </c:pt>
                <c:pt idx="956">
                  <c:v>Low</c:v>
                </c:pt>
                <c:pt idx="957">
                  <c:v>Low</c:v>
                </c:pt>
                <c:pt idx="958">
                  <c:v>Low</c:v>
                </c:pt>
                <c:pt idx="959">
                  <c:v>Medium</c:v>
                </c:pt>
                <c:pt idx="960">
                  <c:v>Medium</c:v>
                </c:pt>
                <c:pt idx="961">
                  <c:v>Medium</c:v>
                </c:pt>
                <c:pt idx="962">
                  <c:v>Low</c:v>
                </c:pt>
                <c:pt idx="963">
                  <c:v>Low</c:v>
                </c:pt>
                <c:pt idx="964">
                  <c:v>Low</c:v>
                </c:pt>
                <c:pt idx="965">
                  <c:v>Low</c:v>
                </c:pt>
                <c:pt idx="966">
                  <c:v>Medium</c:v>
                </c:pt>
                <c:pt idx="967">
                  <c:v>Low</c:v>
                </c:pt>
                <c:pt idx="968">
                  <c:v>Low</c:v>
                </c:pt>
                <c:pt idx="969">
                  <c:v>Low</c:v>
                </c:pt>
                <c:pt idx="970">
                  <c:v>Low</c:v>
                </c:pt>
                <c:pt idx="971">
                  <c:v>Low</c:v>
                </c:pt>
                <c:pt idx="972">
                  <c:v>Low</c:v>
                </c:pt>
                <c:pt idx="973">
                  <c:v>Low</c:v>
                </c:pt>
                <c:pt idx="974">
                  <c:v>Low</c:v>
                </c:pt>
                <c:pt idx="975">
                  <c:v>Low</c:v>
                </c:pt>
                <c:pt idx="976">
                  <c:v>Low</c:v>
                </c:pt>
                <c:pt idx="977">
                  <c:v>Low</c:v>
                </c:pt>
                <c:pt idx="978">
                  <c:v>Low</c:v>
                </c:pt>
                <c:pt idx="979">
                  <c:v>Low</c:v>
                </c:pt>
                <c:pt idx="980">
                  <c:v>Medium</c:v>
                </c:pt>
                <c:pt idx="981">
                  <c:v>Medium</c:v>
                </c:pt>
                <c:pt idx="982">
                  <c:v>Medium</c:v>
                </c:pt>
                <c:pt idx="983">
                  <c:v>Medium</c:v>
                </c:pt>
                <c:pt idx="984">
                  <c:v>Medium</c:v>
                </c:pt>
                <c:pt idx="985">
                  <c:v>Medium</c:v>
                </c:pt>
                <c:pt idx="986">
                  <c:v>Medium</c:v>
                </c:pt>
                <c:pt idx="987">
                  <c:v>Medium</c:v>
                </c:pt>
                <c:pt idx="988">
                  <c:v>Medium</c:v>
                </c:pt>
                <c:pt idx="989">
                  <c:v>Medium</c:v>
                </c:pt>
                <c:pt idx="990">
                  <c:v>Medium</c:v>
                </c:pt>
                <c:pt idx="991">
                  <c:v>Medium</c:v>
                </c:pt>
                <c:pt idx="992">
                  <c:v>Medium</c:v>
                </c:pt>
                <c:pt idx="993">
                  <c:v>Medium</c:v>
                </c:pt>
                <c:pt idx="994">
                  <c:v>Medium</c:v>
                </c:pt>
                <c:pt idx="995">
                  <c:v>Medium</c:v>
                </c:pt>
                <c:pt idx="996">
                  <c:v>Medium</c:v>
                </c:pt>
                <c:pt idx="997">
                  <c:v>Medium</c:v>
                </c:pt>
                <c:pt idx="998">
                  <c:v>Medium</c:v>
                </c:pt>
                <c:pt idx="999">
                  <c:v>Medium</c:v>
                </c:pt>
              </c:strCache>
            </c:strRef>
          </c:xVal>
          <c:yVal>
            <c:numRef>
              <c:f>'[1]Final dataset'!$U$2:$U$1001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A521-4A3B-9596-8C2AEB708B61}"/>
            </c:ext>
          </c:extLst>
        </c:ser>
        <c:dLbls>
          <c:showLegendKey val="0"/>
          <c:showVal val="0"/>
          <c:showCatName val="0"/>
          <c:showSerName val="0"/>
          <c:showPercent val="0"/>
          <c:showBubbleSize val="0"/>
        </c:dLbls>
        <c:axId val="1189760847"/>
        <c:axId val="1189745007"/>
      </c:scatterChart>
      <c:valAx>
        <c:axId val="1189760847"/>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9745007"/>
        <c:crosses val="autoZero"/>
        <c:crossBetween val="midCat"/>
      </c:valAx>
      <c:valAx>
        <c:axId val="1189745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9760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tint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shade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972440944881883E-2"/>
          <c:y val="0.14217660273857249"/>
          <c:w val="0.62548468941382329"/>
          <c:h val="0.65226805890968365"/>
        </c:manualLayout>
      </c:layout>
      <c:bar3DChart>
        <c:barDir val="col"/>
        <c:grouping val="clustered"/>
        <c:varyColors val="0"/>
        <c:ser>
          <c:idx val="0"/>
          <c:order val="0"/>
          <c:tx>
            <c:v>Sum of Casual</c:v>
          </c:tx>
          <c:spPr>
            <a:solidFill>
              <a:schemeClr val="accent6">
                <a:tint val="65000"/>
                <a:alpha val="85000"/>
              </a:schemeClr>
            </a:solidFill>
            <a:ln w="9525" cap="flat" cmpd="sng" algn="ctr">
              <a:solidFill>
                <a:schemeClr val="accent6">
                  <a:tint val="65000"/>
                  <a:lumMod val="75000"/>
                </a:schemeClr>
              </a:solidFill>
              <a:round/>
            </a:ln>
            <a:effectLst/>
            <a:sp3d contourW="9525">
              <a:contourClr>
                <a:schemeClr val="accent6">
                  <a:tint val="65000"/>
                  <a:lumMod val="75000"/>
                </a:schemeClr>
              </a:contourClr>
            </a:sp3d>
          </c:spPr>
          <c:invertIfNegative val="0"/>
          <c:cat>
            <c:strLit>
              <c:ptCount val="4"/>
              <c:pt idx="0">
                <c:v>Cloudy</c:v>
              </c:pt>
              <c:pt idx="1">
                <c:v>Heavy Rain</c:v>
              </c:pt>
              <c:pt idx="2">
                <c:v>Light Rain</c:v>
              </c:pt>
              <c:pt idx="3">
                <c:v>Sunny</c:v>
              </c:pt>
            </c:strLit>
          </c:cat>
          <c:val>
            <c:numLit>
              <c:formatCode>General</c:formatCode>
              <c:ptCount val="4"/>
              <c:pt idx="0">
                <c:v>1538</c:v>
              </c:pt>
              <c:pt idx="1">
                <c:v>1</c:v>
              </c:pt>
              <c:pt idx="2">
                <c:v>171</c:v>
              </c:pt>
              <c:pt idx="3">
                <c:v>3211</c:v>
              </c:pt>
            </c:numLit>
          </c:val>
          <c:extLst>
            <c:ext xmlns:c16="http://schemas.microsoft.com/office/drawing/2014/chart" uri="{C3380CC4-5D6E-409C-BE32-E72D297353CC}">
              <c16:uniqueId val="{00000000-1539-4163-95F1-1EEA931CDF60}"/>
            </c:ext>
          </c:extLst>
        </c:ser>
        <c:ser>
          <c:idx val="1"/>
          <c:order val="1"/>
          <c:tx>
            <c:v>Sum of Registered</c:v>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Lit>
              <c:ptCount val="4"/>
              <c:pt idx="0">
                <c:v>Cloudy</c:v>
              </c:pt>
              <c:pt idx="1">
                <c:v>Heavy Rain</c:v>
              </c:pt>
              <c:pt idx="2">
                <c:v>Light Rain</c:v>
              </c:pt>
              <c:pt idx="3">
                <c:v>Sunny</c:v>
              </c:pt>
            </c:strLit>
          </c:cat>
          <c:val>
            <c:numLit>
              <c:formatCode>General</c:formatCode>
              <c:ptCount val="4"/>
              <c:pt idx="0">
                <c:v>16568</c:v>
              </c:pt>
              <c:pt idx="1">
                <c:v>35</c:v>
              </c:pt>
              <c:pt idx="2">
                <c:v>2618</c:v>
              </c:pt>
              <c:pt idx="3">
                <c:v>34162</c:v>
              </c:pt>
            </c:numLit>
          </c:val>
          <c:extLst>
            <c:ext xmlns:c16="http://schemas.microsoft.com/office/drawing/2014/chart" uri="{C3380CC4-5D6E-409C-BE32-E72D297353CC}">
              <c16:uniqueId val="{00000001-1539-4163-95F1-1EEA931CDF60}"/>
            </c:ext>
          </c:extLst>
        </c:ser>
        <c:ser>
          <c:idx val="2"/>
          <c:order val="2"/>
          <c:tx>
            <c:v>Sum of Total </c:v>
          </c:tx>
          <c:spPr>
            <a:solidFill>
              <a:schemeClr val="accent6">
                <a:shade val="65000"/>
                <a:alpha val="85000"/>
              </a:schemeClr>
            </a:solidFill>
            <a:ln w="9525" cap="flat" cmpd="sng" algn="ctr">
              <a:solidFill>
                <a:schemeClr val="accent6">
                  <a:shade val="65000"/>
                  <a:lumMod val="75000"/>
                </a:schemeClr>
              </a:solidFill>
              <a:round/>
            </a:ln>
            <a:effectLst/>
            <a:sp3d contourW="9525">
              <a:contourClr>
                <a:schemeClr val="accent6">
                  <a:shade val="65000"/>
                  <a:lumMod val="75000"/>
                </a:schemeClr>
              </a:contourClr>
            </a:sp3d>
          </c:spPr>
          <c:invertIfNegative val="0"/>
          <c:cat>
            <c:strLit>
              <c:ptCount val="4"/>
              <c:pt idx="0">
                <c:v>Cloudy</c:v>
              </c:pt>
              <c:pt idx="1">
                <c:v>Heavy Rain</c:v>
              </c:pt>
              <c:pt idx="2">
                <c:v>Light Rain</c:v>
              </c:pt>
              <c:pt idx="3">
                <c:v>Sunny</c:v>
              </c:pt>
            </c:strLit>
          </c:cat>
          <c:val>
            <c:numLit>
              <c:formatCode>General</c:formatCode>
              <c:ptCount val="4"/>
              <c:pt idx="0">
                <c:v>18106</c:v>
              </c:pt>
              <c:pt idx="1">
                <c:v>36</c:v>
              </c:pt>
              <c:pt idx="2">
                <c:v>2789</c:v>
              </c:pt>
              <c:pt idx="3">
                <c:v>37373</c:v>
              </c:pt>
            </c:numLit>
          </c:val>
          <c:extLst>
            <c:ext xmlns:c16="http://schemas.microsoft.com/office/drawing/2014/chart" uri="{C3380CC4-5D6E-409C-BE32-E72D297353CC}">
              <c16:uniqueId val="{00000002-1539-4163-95F1-1EEA931CDF60}"/>
            </c:ext>
          </c:extLst>
        </c:ser>
        <c:dLbls>
          <c:showLegendKey val="0"/>
          <c:showVal val="0"/>
          <c:showCatName val="0"/>
          <c:showSerName val="0"/>
          <c:showPercent val="0"/>
          <c:showBubbleSize val="0"/>
        </c:dLbls>
        <c:gapWidth val="65"/>
        <c:shape val="box"/>
        <c:axId val="741036159"/>
        <c:axId val="741040959"/>
        <c:axId val="0"/>
      </c:bar3DChart>
      <c:catAx>
        <c:axId val="7410361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1040959"/>
        <c:crosses val="autoZero"/>
        <c:auto val="1"/>
        <c:lblAlgn val="ctr"/>
        <c:lblOffset val="100"/>
        <c:noMultiLvlLbl val="0"/>
      </c:catAx>
      <c:valAx>
        <c:axId val="74104095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10361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Casual</c:v>
          </c:tx>
          <c:spPr>
            <a:solidFill>
              <a:schemeClr val="accent2">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1</c:v>
              </c:pt>
              <c:pt idx="1">
                <c:v>2</c:v>
              </c:pt>
            </c:strLit>
          </c:cat>
          <c:val>
            <c:numLit>
              <c:formatCode>General</c:formatCode>
              <c:ptCount val="2"/>
              <c:pt idx="0">
                <c:v>3073</c:v>
              </c:pt>
              <c:pt idx="1">
                <c:v>1848</c:v>
              </c:pt>
            </c:numLit>
          </c:val>
          <c:extLst>
            <c:ext xmlns:c16="http://schemas.microsoft.com/office/drawing/2014/chart" uri="{C3380CC4-5D6E-409C-BE32-E72D297353CC}">
              <c16:uniqueId val="{00000000-5675-4F0C-B97D-0C173FC4210E}"/>
            </c:ext>
          </c:extLst>
        </c:ser>
        <c:ser>
          <c:idx val="1"/>
          <c:order val="1"/>
          <c:tx>
            <c:v>Sum of Registered</c:v>
          </c:tx>
          <c:spPr>
            <a:solidFill>
              <a:schemeClr val="accent2">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1</c:v>
              </c:pt>
              <c:pt idx="1">
                <c:v>2</c:v>
              </c:pt>
            </c:strLit>
          </c:cat>
          <c:val>
            <c:numLit>
              <c:formatCode>General</c:formatCode>
              <c:ptCount val="2"/>
              <c:pt idx="0">
                <c:v>35116</c:v>
              </c:pt>
              <c:pt idx="1">
                <c:v>18267</c:v>
              </c:pt>
            </c:numLit>
          </c:val>
          <c:extLst>
            <c:ext xmlns:c16="http://schemas.microsoft.com/office/drawing/2014/chart" uri="{C3380CC4-5D6E-409C-BE32-E72D297353CC}">
              <c16:uniqueId val="{00000001-5675-4F0C-B97D-0C173FC4210E}"/>
            </c:ext>
          </c:extLst>
        </c:ser>
        <c:dLbls>
          <c:dLblPos val="inEnd"/>
          <c:showLegendKey val="0"/>
          <c:showVal val="1"/>
          <c:showCatName val="0"/>
          <c:showSerName val="0"/>
          <c:showPercent val="0"/>
          <c:showBubbleSize val="0"/>
        </c:dLbls>
        <c:gapWidth val="65"/>
        <c:axId val="439278127"/>
        <c:axId val="439276687"/>
      </c:barChart>
      <c:catAx>
        <c:axId val="439278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9276687"/>
        <c:crosses val="autoZero"/>
        <c:auto val="1"/>
        <c:lblAlgn val="ctr"/>
        <c:lblOffset val="100"/>
        <c:noMultiLvlLbl val="0"/>
      </c:catAx>
      <c:valAx>
        <c:axId val="4392766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392781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hade val="58000"/>
            </a:schemeClr>
          </a:solidFill>
          <a:ln>
            <a:noFill/>
          </a:ln>
          <a:effectLst>
            <a:outerShdw blurRad="254000" sx="102000" sy="102000" algn="ctr" rotWithShape="0">
              <a:prstClr val="black">
                <a:alpha val="20000"/>
              </a:prstClr>
            </a:outerShdw>
          </a:effectLst>
        </c:spPr>
      </c:pivotFmt>
      <c:pivotFmt>
        <c:idx val="3"/>
        <c:spPr>
          <a:solidFill>
            <a:schemeClr val="accent3">
              <a:shade val="86000"/>
            </a:schemeClr>
          </a:solidFill>
          <a:ln>
            <a:noFill/>
          </a:ln>
          <a:effectLst>
            <a:outerShdw blurRad="254000" sx="102000" sy="102000" algn="ctr" rotWithShape="0">
              <a:prstClr val="black">
                <a:alpha val="20000"/>
              </a:prstClr>
            </a:outerShdw>
          </a:effectLst>
        </c:spPr>
      </c:pivotFmt>
      <c:pivotFmt>
        <c:idx val="4"/>
        <c:spPr>
          <a:solidFill>
            <a:schemeClr val="accent3">
              <a:tint val="86000"/>
            </a:schemeClr>
          </a:solidFill>
          <a:ln>
            <a:noFill/>
          </a:ln>
          <a:effectLst>
            <a:outerShdw blurRad="254000" sx="102000" sy="102000" algn="ctr" rotWithShape="0">
              <a:prstClr val="black">
                <a:alpha val="20000"/>
              </a:prstClr>
            </a:outerShdw>
          </a:effectLst>
        </c:spPr>
      </c:pivotFmt>
      <c:pivotFmt>
        <c:idx val="5"/>
        <c:spPr>
          <a:solidFill>
            <a:schemeClr val="accent3">
              <a:tint val="58000"/>
            </a:schemeClr>
          </a:solidFill>
          <a:ln>
            <a:noFill/>
          </a:ln>
          <a:effectLst>
            <a:outerShdw blurRad="254000" sx="102000" sy="102000" algn="ctr" rotWithShape="0">
              <a:prstClr val="black">
                <a:alpha val="20000"/>
              </a:prstClr>
            </a:outerShdw>
          </a:effectLst>
        </c:spPr>
      </c:pivotFmt>
      <c:pivotFmt>
        <c:idx val="6"/>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hade val="58000"/>
            </a:schemeClr>
          </a:solidFill>
          <a:ln>
            <a:noFill/>
          </a:ln>
          <a:effectLst>
            <a:outerShdw blurRad="254000" sx="102000" sy="102000" algn="ctr" rotWithShape="0">
              <a:prstClr val="black">
                <a:alpha val="20000"/>
              </a:prstClr>
            </a:outerShdw>
          </a:effectLst>
        </c:spPr>
      </c:pivotFmt>
      <c:pivotFmt>
        <c:idx val="8"/>
        <c:spPr>
          <a:solidFill>
            <a:schemeClr val="accent3">
              <a:shade val="86000"/>
            </a:schemeClr>
          </a:solidFill>
          <a:ln>
            <a:noFill/>
          </a:ln>
          <a:effectLst>
            <a:outerShdw blurRad="254000" sx="102000" sy="102000" algn="ctr" rotWithShape="0">
              <a:prstClr val="black">
                <a:alpha val="20000"/>
              </a:prstClr>
            </a:outerShdw>
          </a:effectLst>
        </c:spPr>
      </c:pivotFmt>
      <c:pivotFmt>
        <c:idx val="9"/>
        <c:spPr>
          <a:solidFill>
            <a:schemeClr val="accent3">
              <a:tint val="86000"/>
            </a:schemeClr>
          </a:solidFill>
          <a:ln>
            <a:noFill/>
          </a:ln>
          <a:effectLst>
            <a:outerShdw blurRad="254000" sx="102000" sy="102000" algn="ctr" rotWithShape="0">
              <a:prstClr val="black">
                <a:alpha val="20000"/>
              </a:prstClr>
            </a:outerShdw>
          </a:effectLst>
        </c:spPr>
      </c:pivotFmt>
      <c:pivotFmt>
        <c:idx val="10"/>
        <c:spPr>
          <a:solidFill>
            <a:schemeClr val="accent3">
              <a:tint val="58000"/>
            </a:schemeClr>
          </a:solidFill>
          <a:ln>
            <a:noFill/>
          </a:ln>
          <a:effectLst>
            <a:outerShdw blurRad="254000" sx="102000" sy="102000" algn="ctr" rotWithShape="0">
              <a:prstClr val="black">
                <a:alpha val="20000"/>
              </a:prstClr>
            </a:outerShdw>
          </a:effectLst>
        </c:spPr>
      </c:pivotFmt>
    </c:pivotFmts>
    <c:plotArea>
      <c:layout/>
      <c:ofPieChart>
        <c:ofPieType val="bar"/>
        <c:varyColors val="1"/>
        <c:ser>
          <c:idx val="0"/>
          <c:order val="0"/>
          <c:tx>
            <c:v>Total</c:v>
          </c:tx>
          <c:dPt>
            <c:idx val="0"/>
            <c:bubble3D val="0"/>
            <c:spPr>
              <a:solidFill>
                <a:schemeClr val="accent3">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8FB-43CD-B7AD-BB2D414156E3}"/>
              </c:ext>
            </c:extLst>
          </c:dPt>
          <c:dPt>
            <c:idx val="1"/>
            <c:bubble3D val="0"/>
            <c:spPr>
              <a:solidFill>
                <a:schemeClr val="accent3">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8FB-43CD-B7AD-BB2D414156E3}"/>
              </c:ext>
            </c:extLst>
          </c:dPt>
          <c:dPt>
            <c:idx val="2"/>
            <c:bubble3D val="0"/>
            <c:spPr>
              <a:solidFill>
                <a:schemeClr val="accent3">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8FB-43CD-B7AD-BB2D414156E3}"/>
              </c:ext>
            </c:extLst>
          </c:dPt>
          <c:dPt>
            <c:idx val="3"/>
            <c:bubble3D val="0"/>
            <c:spPr>
              <a:solidFill>
                <a:schemeClr val="accent3">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8FB-43CD-B7AD-BB2D414156E3}"/>
              </c:ext>
            </c:extLst>
          </c:dPt>
          <c:dPt>
            <c:idx val="4"/>
            <c:bubble3D val="0"/>
            <c:spPr>
              <a:solidFill>
                <a:schemeClr val="accent3">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8FB-43CD-B7AD-BB2D414156E3}"/>
              </c:ext>
            </c:extLst>
          </c:dPt>
          <c:dPt>
            <c:idx val="5"/>
            <c:bubble3D val="0"/>
            <c:spPr>
              <a:solidFill>
                <a:schemeClr val="accent3">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8FB-43CD-B7AD-BB2D414156E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Cloudy</c:v>
              </c:pt>
              <c:pt idx="1">
                <c:v>Heavy Rain</c:v>
              </c:pt>
              <c:pt idx="2">
                <c:v>Light Rain</c:v>
              </c:pt>
              <c:pt idx="3">
                <c:v>Sunny</c:v>
              </c:pt>
            </c:strLit>
          </c:cat>
          <c:val>
            <c:numLit>
              <c:formatCode>General</c:formatCode>
              <c:ptCount val="5"/>
              <c:pt idx="0">
                <c:v>18106</c:v>
              </c:pt>
              <c:pt idx="1">
                <c:v>36</c:v>
              </c:pt>
              <c:pt idx="2">
                <c:v>2789</c:v>
              </c:pt>
              <c:pt idx="3">
                <c:v>37373</c:v>
              </c:pt>
              <c:pt idx="4">
                <c:v>40162</c:v>
              </c:pt>
            </c:numLit>
          </c:val>
          <c:extLst>
            <c:ext xmlns:c16="http://schemas.microsoft.com/office/drawing/2014/chart" uri="{C3380CC4-5D6E-409C-BE32-E72D297353CC}">
              <c16:uniqueId val="{0000000C-18FB-43CD-B7AD-BB2D414156E3}"/>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Count of Temperature Range</c:v>
          </c:tx>
          <c:spPr>
            <a:solidFill>
              <a:schemeClr val="accent5">
                <a:shade val="76000"/>
                <a:alpha val="85000"/>
              </a:schemeClr>
            </a:solidFill>
            <a:ln w="9525" cap="flat" cmpd="sng" algn="ctr">
              <a:solidFill>
                <a:schemeClr val="accent5">
                  <a:shade val="76000"/>
                  <a:lumMod val="75000"/>
                </a:schemeClr>
              </a:solidFill>
              <a:round/>
            </a:ln>
            <a:effectLst/>
            <a:sp3d contourW="9525">
              <a:contourClr>
                <a:schemeClr val="accent5">
                  <a:shade val="76000"/>
                  <a:lumMod val="75000"/>
                </a:schemeClr>
              </a:contourClr>
            </a:sp3d>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43</c:v>
              </c:pt>
              <c:pt idx="1">
                <c:v>43</c:v>
              </c:pt>
              <c:pt idx="2">
                <c:v>41</c:v>
              </c:pt>
              <c:pt idx="3">
                <c:v>31</c:v>
              </c:pt>
              <c:pt idx="4">
                <c:v>32</c:v>
              </c:pt>
              <c:pt idx="5">
                <c:v>39</c:v>
              </c:pt>
              <c:pt idx="6">
                <c:v>42</c:v>
              </c:pt>
              <c:pt idx="7">
                <c:v>43</c:v>
              </c:pt>
              <c:pt idx="8">
                <c:v>42</c:v>
              </c:pt>
              <c:pt idx="9">
                <c:v>42</c:v>
              </c:pt>
              <c:pt idx="10">
                <c:v>42</c:v>
              </c:pt>
              <c:pt idx="11">
                <c:v>42</c:v>
              </c:pt>
              <c:pt idx="12">
                <c:v>43</c:v>
              </c:pt>
              <c:pt idx="13">
                <c:v>43</c:v>
              </c:pt>
              <c:pt idx="14">
                <c:v>43</c:v>
              </c:pt>
              <c:pt idx="15">
                <c:v>43</c:v>
              </c:pt>
              <c:pt idx="16">
                <c:v>44</c:v>
              </c:pt>
              <c:pt idx="17">
                <c:v>44</c:v>
              </c:pt>
              <c:pt idx="18">
                <c:v>43</c:v>
              </c:pt>
              <c:pt idx="19">
                <c:v>43</c:v>
              </c:pt>
              <c:pt idx="20">
                <c:v>43</c:v>
              </c:pt>
              <c:pt idx="21">
                <c:v>43</c:v>
              </c:pt>
              <c:pt idx="22">
                <c:v>43</c:v>
              </c:pt>
              <c:pt idx="23">
                <c:v>43</c:v>
              </c:pt>
            </c:numLit>
          </c:val>
          <c:extLst>
            <c:ext xmlns:c16="http://schemas.microsoft.com/office/drawing/2014/chart" uri="{C3380CC4-5D6E-409C-BE32-E72D297353CC}">
              <c16:uniqueId val="{00000000-BE63-408D-824F-67DA0DA900CC}"/>
            </c:ext>
          </c:extLst>
        </c:ser>
        <c:ser>
          <c:idx val="1"/>
          <c:order val="1"/>
          <c:tx>
            <c:v>Sum of Total</c:v>
          </c:tx>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Lit>
          </c:val>
          <c:extLst>
            <c:ext xmlns:c16="http://schemas.microsoft.com/office/drawing/2014/chart" uri="{C3380CC4-5D6E-409C-BE32-E72D297353CC}">
              <c16:uniqueId val="{00000001-BE63-408D-824F-67DA0DA900CC}"/>
            </c:ext>
          </c:extLst>
        </c:ser>
        <c:dLbls>
          <c:showLegendKey val="0"/>
          <c:showVal val="0"/>
          <c:showCatName val="0"/>
          <c:showSerName val="0"/>
          <c:showPercent val="0"/>
          <c:showBubbleSize val="0"/>
        </c:dLbls>
        <c:gapWidth val="65"/>
        <c:shape val="box"/>
        <c:axId val="632094783"/>
        <c:axId val="632078943"/>
        <c:axId val="0"/>
      </c:bar3DChart>
      <c:catAx>
        <c:axId val="632094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2078943"/>
        <c:crosses val="autoZero"/>
        <c:auto val="1"/>
        <c:lblAlgn val="ctr"/>
        <c:lblOffset val="100"/>
        <c:noMultiLvlLbl val="0"/>
      </c:catAx>
      <c:valAx>
        <c:axId val="6320789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20947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w="9525">
              <a:solidFill>
                <a:schemeClr val="accent3">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w="9525">
              <a:solidFill>
                <a:schemeClr val="accent3">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w="9525">
              <a:solidFill>
                <a:schemeClr val="accent3">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w="9525">
              <a:solidFill>
                <a:schemeClr val="accent3">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88888888888884E-2"/>
          <c:y val="0.15175707203266259"/>
          <c:w val="0.5901791338582677"/>
          <c:h val="0.71500437445319331"/>
        </c:manualLayout>
      </c:layout>
      <c:barChart>
        <c:barDir val="col"/>
        <c:grouping val="clustered"/>
        <c:varyColors val="0"/>
        <c:ser>
          <c:idx val="1"/>
          <c:order val="1"/>
          <c:tx>
            <c:v>Count of Temperature Range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Friday</c:v>
              </c:pt>
              <c:pt idx="1">
                <c:v>Monday</c:v>
              </c:pt>
              <c:pt idx="2">
                <c:v>Saturday</c:v>
              </c:pt>
              <c:pt idx="3">
                <c:v>Sunday</c:v>
              </c:pt>
              <c:pt idx="4">
                <c:v>Thursday</c:v>
              </c:pt>
              <c:pt idx="5">
                <c:v>Tuesday</c:v>
              </c:pt>
              <c:pt idx="6">
                <c:v>Wednesday</c:v>
              </c:pt>
            </c:strLit>
          </c:cat>
          <c:val>
            <c:numLit>
              <c:formatCode>General</c:formatCode>
              <c:ptCount val="7"/>
              <c:pt idx="0">
                <c:v>79</c:v>
              </c:pt>
              <c:pt idx="1">
                <c:v>94</c:v>
              </c:pt>
              <c:pt idx="2">
                <c:v>85</c:v>
              </c:pt>
              <c:pt idx="3">
                <c:v>95</c:v>
              </c:pt>
              <c:pt idx="4">
                <c:v>84</c:v>
              </c:pt>
              <c:pt idx="5">
                <c:v>93</c:v>
              </c:pt>
              <c:pt idx="6">
                <c:v>80</c:v>
              </c:pt>
            </c:numLit>
          </c:val>
          <c:extLst>
            <c:ext xmlns:c16="http://schemas.microsoft.com/office/drawing/2014/chart" uri="{C3380CC4-5D6E-409C-BE32-E72D297353CC}">
              <c16:uniqueId val="{00000000-D98D-41E7-BBC4-25600854E52D}"/>
            </c:ext>
          </c:extLst>
        </c:ser>
        <c:dLbls>
          <c:showLegendKey val="0"/>
          <c:showVal val="0"/>
          <c:showCatName val="0"/>
          <c:showSerName val="0"/>
          <c:showPercent val="0"/>
          <c:showBubbleSize val="0"/>
        </c:dLbls>
        <c:gapWidth val="219"/>
        <c:overlap val="-27"/>
        <c:axId val="91751119"/>
        <c:axId val="91756399"/>
      </c:barChart>
      <c:barChart>
        <c:barDir val="col"/>
        <c:grouping val="clustered"/>
        <c:varyColors val="0"/>
        <c:ser>
          <c:idx val="0"/>
          <c:order val="0"/>
          <c:tx>
            <c:v>Count of Humidity Range</c:v>
          </c:tx>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Friday</c:v>
              </c:pt>
              <c:pt idx="1">
                <c:v>Monday</c:v>
              </c:pt>
              <c:pt idx="2">
                <c:v>Saturday</c:v>
              </c:pt>
              <c:pt idx="3">
                <c:v>Sunday</c:v>
              </c:pt>
              <c:pt idx="4">
                <c:v>Thursday</c:v>
              </c:pt>
              <c:pt idx="5">
                <c:v>Tuesday</c:v>
              </c:pt>
              <c:pt idx="6">
                <c:v>Wednesday</c:v>
              </c:pt>
            </c:strLit>
          </c:cat>
          <c:val>
            <c:numLit>
              <c:formatCode>General</c:formatCode>
              <c:ptCount val="7"/>
              <c:pt idx="0">
                <c:v>79</c:v>
              </c:pt>
              <c:pt idx="1">
                <c:v>94</c:v>
              </c:pt>
              <c:pt idx="2">
                <c:v>85</c:v>
              </c:pt>
              <c:pt idx="3">
                <c:v>95</c:v>
              </c:pt>
              <c:pt idx="4">
                <c:v>84</c:v>
              </c:pt>
              <c:pt idx="5">
                <c:v>93</c:v>
              </c:pt>
              <c:pt idx="6">
                <c:v>80</c:v>
              </c:pt>
            </c:numLit>
          </c:val>
          <c:extLst>
            <c:ext xmlns:c16="http://schemas.microsoft.com/office/drawing/2014/chart" uri="{C3380CC4-5D6E-409C-BE32-E72D297353CC}">
              <c16:uniqueId val="{00000001-D98D-41E7-BBC4-25600854E52D}"/>
            </c:ext>
          </c:extLst>
        </c:ser>
        <c:dLbls>
          <c:showLegendKey val="0"/>
          <c:showVal val="0"/>
          <c:showCatName val="0"/>
          <c:showSerName val="0"/>
          <c:showPercent val="0"/>
          <c:showBubbleSize val="0"/>
        </c:dLbls>
        <c:gapWidth val="219"/>
        <c:overlap val="-27"/>
        <c:axId val="1554601487"/>
        <c:axId val="1554600527"/>
      </c:barChart>
      <c:lineChart>
        <c:grouping val="standard"/>
        <c:varyColors val="0"/>
        <c:ser>
          <c:idx val="2"/>
          <c:order val="2"/>
          <c:tx>
            <c:v>Sum of Total</c:v>
          </c:tx>
          <c:spPr>
            <a:ln w="34925" cap="rnd">
              <a:solidFill>
                <a:schemeClr val="accent3">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w="9525">
                <a:solidFill>
                  <a:schemeClr val="accent3">
                    <a:shade val="65000"/>
                  </a:schemeClr>
                </a:solidFill>
                <a:round/>
              </a:ln>
              <a:effectLst>
                <a:outerShdw blurRad="57150" dist="19050" dir="5400000" algn="ctr" rotWithShape="0">
                  <a:srgbClr val="000000">
                    <a:alpha val="63000"/>
                  </a:srgbClr>
                </a:outerShdw>
              </a:effectLst>
            </c:spPr>
          </c:marker>
          <c:cat>
            <c:strLit>
              <c:ptCount val="7"/>
              <c:pt idx="0">
                <c:v>Friday</c:v>
              </c:pt>
              <c:pt idx="1">
                <c:v>Monday</c:v>
              </c:pt>
              <c:pt idx="2">
                <c:v>Saturday</c:v>
              </c:pt>
              <c:pt idx="3">
                <c:v>Sunday</c:v>
              </c:pt>
              <c:pt idx="4">
                <c:v>Thursday</c:v>
              </c:pt>
              <c:pt idx="5">
                <c:v>Tuesday</c:v>
              </c:pt>
              <c:pt idx="6">
                <c:v>Wednesday</c:v>
              </c:pt>
            </c:strLit>
          </c:cat>
          <c:val>
            <c:numLit>
              <c:formatCode>General</c:formatCode>
              <c:ptCount val="7"/>
              <c:pt idx="0">
                <c:v>5370</c:v>
              </c:pt>
              <c:pt idx="1">
                <c:v>3813</c:v>
              </c:pt>
              <c:pt idx="2">
                <c:v>5045</c:v>
              </c:pt>
              <c:pt idx="3">
                <c:v>4173</c:v>
              </c:pt>
              <c:pt idx="4">
                <c:v>4918</c:v>
              </c:pt>
              <c:pt idx="5">
                <c:v>5086</c:v>
              </c:pt>
              <c:pt idx="6">
                <c:v>5493</c:v>
              </c:pt>
            </c:numLit>
          </c:val>
          <c:smooth val="0"/>
          <c:extLst>
            <c:ext xmlns:c16="http://schemas.microsoft.com/office/drawing/2014/chart" uri="{C3380CC4-5D6E-409C-BE32-E72D297353CC}">
              <c16:uniqueId val="{00000002-D98D-41E7-BBC4-25600854E52D}"/>
            </c:ext>
          </c:extLst>
        </c:ser>
        <c:dLbls>
          <c:showLegendKey val="0"/>
          <c:showVal val="0"/>
          <c:showCatName val="0"/>
          <c:showSerName val="0"/>
          <c:showPercent val="0"/>
          <c:showBubbleSize val="0"/>
        </c:dLbls>
        <c:marker val="1"/>
        <c:smooth val="0"/>
        <c:axId val="91751119"/>
        <c:axId val="91756399"/>
      </c:lineChart>
      <c:catAx>
        <c:axId val="91751119"/>
        <c:scaling>
          <c:orientation val="minMax"/>
        </c:scaling>
        <c:delete val="1"/>
        <c:axPos val="b"/>
        <c:numFmt formatCode="General" sourceLinked="1"/>
        <c:majorTickMark val="out"/>
        <c:minorTickMark val="none"/>
        <c:tickLblPos val="nextTo"/>
        <c:crossAx val="91756399"/>
        <c:crosses val="autoZero"/>
        <c:auto val="1"/>
        <c:lblAlgn val="ctr"/>
        <c:lblOffset val="100"/>
        <c:noMultiLvlLbl val="0"/>
      </c:catAx>
      <c:valAx>
        <c:axId val="91756399"/>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crossAx val="91751119"/>
        <c:crosses val="autoZero"/>
        <c:crossBetween val="between"/>
      </c:valAx>
      <c:valAx>
        <c:axId val="1554600527"/>
        <c:scaling>
          <c:orientation val="minMax"/>
        </c:scaling>
        <c:delete val="1"/>
        <c:axPos val="r"/>
        <c:numFmt formatCode="General" sourceLinked="1"/>
        <c:majorTickMark val="out"/>
        <c:minorTickMark val="none"/>
        <c:tickLblPos val="nextTo"/>
        <c:crossAx val="1554601487"/>
        <c:crosses val="max"/>
        <c:crossBetween val="between"/>
      </c:valAx>
      <c:catAx>
        <c:axId val="1554601487"/>
        <c:scaling>
          <c:orientation val="minMax"/>
        </c:scaling>
        <c:delete val="1"/>
        <c:axPos val="t"/>
        <c:numFmt formatCode="General" sourceLinked="1"/>
        <c:majorTickMark val="out"/>
        <c:minorTickMark val="none"/>
        <c:tickLblPos val="nextTo"/>
        <c:crossAx val="1554600527"/>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563683</xdr:colOff>
      <xdr:row>28</xdr:row>
      <xdr:rowOff>138847</xdr:rowOff>
    </xdr:from>
    <xdr:to>
      <xdr:col>17</xdr:col>
      <xdr:colOff>266272</xdr:colOff>
      <xdr:row>44</xdr:row>
      <xdr:rowOff>138847</xdr:rowOff>
    </xdr:to>
    <xdr:graphicFrame macro="">
      <xdr:nvGraphicFramePr>
        <xdr:cNvPr id="2" name="Chart 1">
          <a:extLst>
            <a:ext uri="{FF2B5EF4-FFF2-40B4-BE49-F238E27FC236}">
              <a16:creationId xmlns:a16="http://schemas.microsoft.com/office/drawing/2014/main" id="{31919009-1602-46EB-A714-946594CFB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260981</xdr:colOff>
      <xdr:row>10</xdr:row>
      <xdr:rowOff>10044</xdr:rowOff>
    </xdr:from>
    <xdr:to>
      <xdr:col>9</xdr:col>
      <xdr:colOff>560030</xdr:colOff>
      <xdr:row>26</xdr:row>
      <xdr:rowOff>10045</xdr:rowOff>
    </xdr:to>
    <xdr:graphicFrame macro="">
      <xdr:nvGraphicFramePr>
        <xdr:cNvPr id="3" name="Chart 2">
          <a:extLst>
            <a:ext uri="{FF2B5EF4-FFF2-40B4-BE49-F238E27FC236}">
              <a16:creationId xmlns:a16="http://schemas.microsoft.com/office/drawing/2014/main" id="{18778642-34DE-4448-9B5B-64C4CA42A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302203</xdr:colOff>
      <xdr:row>28</xdr:row>
      <xdr:rowOff>129908</xdr:rowOff>
    </xdr:from>
    <xdr:to>
      <xdr:col>9</xdr:col>
      <xdr:colOff>603331</xdr:colOff>
      <xdr:row>44</xdr:row>
      <xdr:rowOff>129907</xdr:rowOff>
    </xdr:to>
    <xdr:graphicFrame macro="">
      <xdr:nvGraphicFramePr>
        <xdr:cNvPr id="4" name="Chart 3">
          <a:extLst>
            <a:ext uri="{FF2B5EF4-FFF2-40B4-BE49-F238E27FC236}">
              <a16:creationId xmlns:a16="http://schemas.microsoft.com/office/drawing/2014/main" id="{56180C57-6BCE-4B15-87F2-44672B7CB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557389</xdr:colOff>
      <xdr:row>10</xdr:row>
      <xdr:rowOff>33014</xdr:rowOff>
    </xdr:from>
    <xdr:to>
      <xdr:col>17</xdr:col>
      <xdr:colOff>262057</xdr:colOff>
      <xdr:row>26</xdr:row>
      <xdr:rowOff>33015</xdr:rowOff>
    </xdr:to>
    <xdr:graphicFrame macro="">
      <xdr:nvGraphicFramePr>
        <xdr:cNvPr id="5" name="Chart 4">
          <a:extLst>
            <a:ext uri="{FF2B5EF4-FFF2-40B4-BE49-F238E27FC236}">
              <a16:creationId xmlns:a16="http://schemas.microsoft.com/office/drawing/2014/main" id="{883068C5-7D5D-411E-A1D2-E43344EF3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286450</xdr:colOff>
      <xdr:row>10</xdr:row>
      <xdr:rowOff>62405</xdr:rowOff>
    </xdr:from>
    <xdr:to>
      <xdr:col>24</xdr:col>
      <xdr:colOff>583861</xdr:colOff>
      <xdr:row>26</xdr:row>
      <xdr:rowOff>62405</xdr:rowOff>
    </xdr:to>
    <xdr:graphicFrame macro="">
      <xdr:nvGraphicFramePr>
        <xdr:cNvPr id="6" name="Chart 5">
          <a:extLst>
            <a:ext uri="{FF2B5EF4-FFF2-40B4-BE49-F238E27FC236}">
              <a16:creationId xmlns:a16="http://schemas.microsoft.com/office/drawing/2014/main" id="{6EF0834F-070B-417D-8F74-1F6AFF80F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284486</xdr:colOff>
      <xdr:row>28</xdr:row>
      <xdr:rowOff>116332</xdr:rowOff>
    </xdr:from>
    <xdr:to>
      <xdr:col>24</xdr:col>
      <xdr:colOff>581897</xdr:colOff>
      <xdr:row>44</xdr:row>
      <xdr:rowOff>116331</xdr:rowOff>
    </xdr:to>
    <xdr:graphicFrame macro="">
      <xdr:nvGraphicFramePr>
        <xdr:cNvPr id="7" name="Chart 6">
          <a:extLst>
            <a:ext uri="{FF2B5EF4-FFF2-40B4-BE49-F238E27FC236}">
              <a16:creationId xmlns:a16="http://schemas.microsoft.com/office/drawing/2014/main" id="{099F7EC3-1878-4A8F-82A5-C9FD5BD97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15603</xdr:colOff>
      <xdr:row>7</xdr:row>
      <xdr:rowOff>32961</xdr:rowOff>
    </xdr:from>
    <xdr:to>
      <xdr:col>2</xdr:col>
      <xdr:colOff>408878</xdr:colOff>
      <xdr:row>11</xdr:row>
      <xdr:rowOff>101620</xdr:rowOff>
    </xdr:to>
    <mc:AlternateContent xmlns:mc="http://schemas.openxmlformats.org/markup-compatibility/2006">
      <mc:Choice xmlns:a14="http://schemas.microsoft.com/office/drawing/2010/main" Requires="a14">
        <xdr:graphicFrame macro="">
          <xdr:nvGraphicFramePr>
            <xdr:cNvPr id="8" name="Months 1">
              <a:extLst>
                <a:ext uri="{FF2B5EF4-FFF2-40B4-BE49-F238E27FC236}">
                  <a16:creationId xmlns:a16="http://schemas.microsoft.com/office/drawing/2014/main" id="{722D0567-5A1D-4A43-A6B6-B8C8FF45F15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5603" y="1226093"/>
              <a:ext cx="1616486" cy="850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46255</xdr:rowOff>
    </xdr:from>
    <xdr:to>
      <xdr:col>2</xdr:col>
      <xdr:colOff>399586</xdr:colOff>
      <xdr:row>24</xdr:row>
      <xdr:rowOff>6865</xdr:rowOff>
    </xdr:to>
    <mc:AlternateContent xmlns:mc="http://schemas.openxmlformats.org/markup-compatibility/2006">
      <mc:Choice xmlns:a14="http://schemas.microsoft.com/office/drawing/2010/main" Requires="a14">
        <xdr:graphicFrame macro="">
          <xdr:nvGraphicFramePr>
            <xdr:cNvPr id="9" name="Hours">
              <a:extLst>
                <a:ext uri="{FF2B5EF4-FFF2-40B4-BE49-F238E27FC236}">
                  <a16:creationId xmlns:a16="http://schemas.microsoft.com/office/drawing/2014/main" id="{1F43BFCC-F2C3-4FF9-B315-BB1759A52C08}"/>
                </a:ext>
              </a:extLst>
            </xdr:cNvPr>
            <xdr:cNvGraphicFramePr/>
          </xdr:nvGraphicFramePr>
          <xdr:xfrm>
            <a:off x="0" y="0"/>
            <a:ext cx="0" cy="0"/>
          </xdr:xfrm>
          <a:graphic>
            <a:graphicData uri="http://schemas.microsoft.com/office/drawing/2010/slicer">
              <sle:slicer xmlns:sle="http://schemas.microsoft.com/office/drawing/2010/slicer" name="Hours"/>
            </a:graphicData>
          </a:graphic>
        </xdr:graphicFrame>
      </mc:Choice>
      <mc:Fallback>
        <xdr:sp macro="" textlink="">
          <xdr:nvSpPr>
            <xdr:cNvPr id="0" name=""/>
            <xdr:cNvSpPr>
              <a:spLocks noTextEdit="1"/>
            </xdr:cNvSpPr>
          </xdr:nvSpPr>
          <xdr:spPr>
            <a:xfrm>
              <a:off x="0" y="2191887"/>
              <a:ext cx="1622797" cy="2005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105244</xdr:rowOff>
    </xdr:from>
    <xdr:to>
      <xdr:col>2</xdr:col>
      <xdr:colOff>384431</xdr:colOff>
      <xdr:row>44</xdr:row>
      <xdr:rowOff>11899</xdr:rowOff>
    </xdr:to>
    <mc:AlternateContent xmlns:mc="http://schemas.openxmlformats.org/markup-compatibility/2006">
      <mc:Choice xmlns:a14="http://schemas.microsoft.com/office/drawing/2010/main" Requires="a14">
        <xdr:graphicFrame macro="">
          <xdr:nvGraphicFramePr>
            <xdr:cNvPr id="10" name="Weekdays 2">
              <a:extLst>
                <a:ext uri="{FF2B5EF4-FFF2-40B4-BE49-F238E27FC236}">
                  <a16:creationId xmlns:a16="http://schemas.microsoft.com/office/drawing/2014/main" id="{680B22CB-1B92-4BCE-A8C6-EA4B4192A6F4}"/>
                </a:ext>
              </a:extLst>
            </xdr:cNvPr>
            <xdr:cNvGraphicFramePr/>
          </xdr:nvGraphicFramePr>
          <xdr:xfrm>
            <a:off x="0" y="0"/>
            <a:ext cx="0" cy="0"/>
          </xdr:xfrm>
          <a:graphic>
            <a:graphicData uri="http://schemas.microsoft.com/office/drawing/2010/slicer">
              <sle:slicer xmlns:sle="http://schemas.microsoft.com/office/drawing/2010/slicer" name="Weekdays 2"/>
            </a:graphicData>
          </a:graphic>
        </xdr:graphicFrame>
      </mc:Choice>
      <mc:Fallback>
        <xdr:sp macro="" textlink="">
          <xdr:nvSpPr>
            <xdr:cNvPr id="0" name=""/>
            <xdr:cNvSpPr>
              <a:spLocks noTextEdit="1"/>
            </xdr:cNvSpPr>
          </xdr:nvSpPr>
          <xdr:spPr>
            <a:xfrm>
              <a:off x="0" y="6512060"/>
              <a:ext cx="1607642" cy="1099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31982</xdr:rowOff>
    </xdr:from>
    <xdr:to>
      <xdr:col>2</xdr:col>
      <xdr:colOff>408878</xdr:colOff>
      <xdr:row>29</xdr:row>
      <xdr:rowOff>61784</xdr:rowOff>
    </xdr:to>
    <mc:AlternateContent xmlns:mc="http://schemas.openxmlformats.org/markup-compatibility/2006">
      <mc:Choice xmlns:a14="http://schemas.microsoft.com/office/drawing/2010/main" Requires="a14">
        <xdr:graphicFrame macro="">
          <xdr:nvGraphicFramePr>
            <xdr:cNvPr id="11" name="Weathersit 2 1">
              <a:extLst>
                <a:ext uri="{FF2B5EF4-FFF2-40B4-BE49-F238E27FC236}">
                  <a16:creationId xmlns:a16="http://schemas.microsoft.com/office/drawing/2014/main" id="{47045629-72E7-4AC9-8ED7-6DFB77A13B6B}"/>
                </a:ext>
              </a:extLst>
            </xdr:cNvPr>
            <xdr:cNvGraphicFramePr/>
          </xdr:nvGraphicFramePr>
          <xdr:xfrm>
            <a:off x="0" y="0"/>
            <a:ext cx="0" cy="0"/>
          </xdr:xfrm>
          <a:graphic>
            <a:graphicData uri="http://schemas.microsoft.com/office/drawing/2010/slicer">
              <sle:slicer xmlns:sle="http://schemas.microsoft.com/office/drawing/2010/slicer" name="Weathersit 2 1"/>
            </a:graphicData>
          </a:graphic>
        </xdr:graphicFrame>
      </mc:Choice>
      <mc:Fallback>
        <xdr:sp macro="" textlink="">
          <xdr:nvSpPr>
            <xdr:cNvPr id="0" name=""/>
            <xdr:cNvSpPr>
              <a:spLocks noTextEdit="1"/>
            </xdr:cNvSpPr>
          </xdr:nvSpPr>
          <xdr:spPr>
            <a:xfrm>
              <a:off x="0" y="4222982"/>
              <a:ext cx="1632089" cy="88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88702</xdr:rowOff>
    </xdr:from>
    <xdr:to>
      <xdr:col>2</xdr:col>
      <xdr:colOff>390293</xdr:colOff>
      <xdr:row>33</xdr:row>
      <xdr:rowOff>82378</xdr:rowOff>
    </xdr:to>
    <mc:AlternateContent xmlns:mc="http://schemas.openxmlformats.org/markup-compatibility/2006">
      <mc:Choice xmlns:a14="http://schemas.microsoft.com/office/drawing/2010/main" Requires="a14">
        <xdr:graphicFrame macro="">
          <xdr:nvGraphicFramePr>
            <xdr:cNvPr id="12" name="Temperature Range">
              <a:extLst>
                <a:ext uri="{FF2B5EF4-FFF2-40B4-BE49-F238E27FC236}">
                  <a16:creationId xmlns:a16="http://schemas.microsoft.com/office/drawing/2014/main" id="{AC0E5B2E-3EB5-42F4-8DB9-BB7200F40E89}"/>
                </a:ext>
              </a:extLst>
            </xdr:cNvPr>
            <xdr:cNvGraphicFramePr/>
          </xdr:nvGraphicFramePr>
          <xdr:xfrm>
            <a:off x="0" y="0"/>
            <a:ext cx="0" cy="0"/>
          </xdr:xfrm>
          <a:graphic>
            <a:graphicData uri="http://schemas.microsoft.com/office/drawing/2010/slicer">
              <sle:slicer xmlns:sle="http://schemas.microsoft.com/office/drawing/2010/slicer" name="Temperature Range"/>
            </a:graphicData>
          </a:graphic>
        </xdr:graphicFrame>
      </mc:Choice>
      <mc:Fallback>
        <xdr:sp macro="" textlink="">
          <xdr:nvSpPr>
            <xdr:cNvPr id="0" name=""/>
            <xdr:cNvSpPr>
              <a:spLocks noTextEdit="1"/>
            </xdr:cNvSpPr>
          </xdr:nvSpPr>
          <xdr:spPr>
            <a:xfrm>
              <a:off x="0" y="5131939"/>
              <a:ext cx="1613504" cy="675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78175</xdr:rowOff>
    </xdr:from>
    <xdr:to>
      <xdr:col>2</xdr:col>
      <xdr:colOff>386273</xdr:colOff>
      <xdr:row>37</xdr:row>
      <xdr:rowOff>96108</xdr:rowOff>
    </xdr:to>
    <mc:AlternateContent xmlns:mc="http://schemas.openxmlformats.org/markup-compatibility/2006">
      <mc:Choice xmlns:a14="http://schemas.microsoft.com/office/drawing/2010/main" Requires="a14">
        <xdr:graphicFrame macro="">
          <xdr:nvGraphicFramePr>
            <xdr:cNvPr id="13" name="Humidity Range">
              <a:extLst>
                <a:ext uri="{FF2B5EF4-FFF2-40B4-BE49-F238E27FC236}">
                  <a16:creationId xmlns:a16="http://schemas.microsoft.com/office/drawing/2014/main" id="{54BDD689-A297-4C20-A7BC-9B7A0FE16B27}"/>
                </a:ext>
              </a:extLst>
            </xdr:cNvPr>
            <xdr:cNvGraphicFramePr/>
          </xdr:nvGraphicFramePr>
          <xdr:xfrm>
            <a:off x="0" y="0"/>
            <a:ext cx="0" cy="0"/>
          </xdr:xfrm>
          <a:graphic>
            <a:graphicData uri="http://schemas.microsoft.com/office/drawing/2010/slicer">
              <sle:slicer xmlns:sle="http://schemas.microsoft.com/office/drawing/2010/slicer" name="Humidity Range"/>
            </a:graphicData>
          </a:graphic>
        </xdr:graphicFrame>
      </mc:Choice>
      <mc:Fallback>
        <xdr:sp macro="" textlink="">
          <xdr:nvSpPr>
            <xdr:cNvPr id="0" name=""/>
            <xdr:cNvSpPr>
              <a:spLocks noTextEdit="1"/>
            </xdr:cNvSpPr>
          </xdr:nvSpPr>
          <xdr:spPr>
            <a:xfrm>
              <a:off x="0" y="5803201"/>
              <a:ext cx="1609484" cy="699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25300</xdr:rowOff>
    </xdr:from>
    <xdr:to>
      <xdr:col>2</xdr:col>
      <xdr:colOff>418171</xdr:colOff>
      <xdr:row>7</xdr:row>
      <xdr:rowOff>18585</xdr:rowOff>
    </xdr:to>
    <mc:AlternateContent xmlns:mc="http://schemas.openxmlformats.org/markup-compatibility/2006">
      <mc:Choice xmlns:a14="http://schemas.microsoft.com/office/drawing/2010/main" Requires="a14">
        <xdr:graphicFrame macro="">
          <xdr:nvGraphicFramePr>
            <xdr:cNvPr id="14" name="Windspeed Range">
              <a:extLst>
                <a:ext uri="{FF2B5EF4-FFF2-40B4-BE49-F238E27FC236}">
                  <a16:creationId xmlns:a16="http://schemas.microsoft.com/office/drawing/2014/main" id="{2BEE9A56-C314-4B3B-B6A7-B60E56DA80DA}"/>
                </a:ext>
              </a:extLst>
            </xdr:cNvPr>
            <xdr:cNvGraphicFramePr/>
          </xdr:nvGraphicFramePr>
          <xdr:xfrm>
            <a:off x="0" y="0"/>
            <a:ext cx="0" cy="0"/>
          </xdr:xfrm>
          <a:graphic>
            <a:graphicData uri="http://schemas.microsoft.com/office/drawing/2010/slicer">
              <sle:slicer xmlns:sle="http://schemas.microsoft.com/office/drawing/2010/slicer" name="Windspeed Range"/>
            </a:graphicData>
          </a:graphic>
        </xdr:graphicFrame>
      </mc:Choice>
      <mc:Fallback>
        <xdr:sp macro="" textlink="">
          <xdr:nvSpPr>
            <xdr:cNvPr id="0" name=""/>
            <xdr:cNvSpPr>
              <a:spLocks noTextEdit="1"/>
            </xdr:cNvSpPr>
          </xdr:nvSpPr>
          <xdr:spPr>
            <a:xfrm>
              <a:off x="0" y="536642"/>
              <a:ext cx="1641382" cy="67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247861</xdr:colOff>
      <xdr:row>3</xdr:row>
      <xdr:rowOff>120467</xdr:rowOff>
    </xdr:from>
    <xdr:to>
      <xdr:col>7</xdr:col>
      <xdr:colOff>312910</xdr:colOff>
      <xdr:row>6</xdr:row>
      <xdr:rowOff>19262</xdr:rowOff>
    </xdr:to>
    <xdr:sp macro="" textlink="">
      <xdr:nvSpPr>
        <xdr:cNvPr id="15" name="Rectangle 14">
          <a:extLst>
            <a:ext uri="{FF2B5EF4-FFF2-40B4-BE49-F238E27FC236}">
              <a16:creationId xmlns:a16="http://schemas.microsoft.com/office/drawing/2014/main" id="{69984438-7C1B-430C-B0CA-2879F9EA3655}"/>
            </a:ext>
          </a:extLst>
        </xdr:cNvPr>
        <xdr:cNvSpPr/>
      </xdr:nvSpPr>
      <xdr:spPr>
        <a:xfrm>
          <a:off x="2076661" y="623387"/>
          <a:ext cx="2549169" cy="40171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ysClr val="windowText" lastClr="000000"/>
              </a:solidFill>
            </a:rPr>
            <a:t>Total</a:t>
          </a:r>
          <a:r>
            <a:rPr lang="en-IN" sz="1600" b="1">
              <a:solidFill>
                <a:sysClr val="windowText" lastClr="000000"/>
              </a:solidFill>
            </a:rPr>
            <a:t> </a:t>
          </a:r>
        </a:p>
      </xdr:txBody>
    </xdr:sp>
    <xdr:clientData/>
  </xdr:twoCellAnchor>
  <xdr:twoCellAnchor>
    <xdr:from>
      <xdr:col>9</xdr:col>
      <xdr:colOff>282976</xdr:colOff>
      <xdr:row>3</xdr:row>
      <xdr:rowOff>120766</xdr:rowOff>
    </xdr:from>
    <xdr:to>
      <xdr:col>13</xdr:col>
      <xdr:colOff>255099</xdr:colOff>
      <xdr:row>6</xdr:row>
      <xdr:rowOff>46425</xdr:rowOff>
    </xdr:to>
    <xdr:sp macro="" textlink="">
      <xdr:nvSpPr>
        <xdr:cNvPr id="16" name="Rectangle 15">
          <a:extLst>
            <a:ext uri="{FF2B5EF4-FFF2-40B4-BE49-F238E27FC236}">
              <a16:creationId xmlns:a16="http://schemas.microsoft.com/office/drawing/2014/main" id="{33120D71-D0D9-4057-A20A-03B9887D5CE7}"/>
            </a:ext>
          </a:extLst>
        </xdr:cNvPr>
        <xdr:cNvSpPr/>
      </xdr:nvSpPr>
      <xdr:spPr>
        <a:xfrm>
          <a:off x="5815096" y="623686"/>
          <a:ext cx="2410523" cy="428579"/>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ysClr val="windowText" lastClr="000000"/>
              </a:solidFill>
            </a:rPr>
            <a:t>Casual</a:t>
          </a:r>
        </a:p>
      </xdr:txBody>
    </xdr:sp>
    <xdr:clientData/>
  </xdr:twoCellAnchor>
  <xdr:twoCellAnchor>
    <xdr:from>
      <xdr:col>14</xdr:col>
      <xdr:colOff>292941</xdr:colOff>
      <xdr:row>3</xdr:row>
      <xdr:rowOff>136038</xdr:rowOff>
    </xdr:from>
    <xdr:to>
      <xdr:col>18</xdr:col>
      <xdr:colOff>292941</xdr:colOff>
      <xdr:row>6</xdr:row>
      <xdr:rowOff>46594</xdr:rowOff>
    </xdr:to>
    <xdr:sp macro="" textlink="">
      <xdr:nvSpPr>
        <xdr:cNvPr id="17" name="Rectangle 16">
          <a:extLst>
            <a:ext uri="{FF2B5EF4-FFF2-40B4-BE49-F238E27FC236}">
              <a16:creationId xmlns:a16="http://schemas.microsoft.com/office/drawing/2014/main" id="{9A7C063A-B698-4323-BBFF-3CDC4DD0F29A}"/>
            </a:ext>
          </a:extLst>
        </xdr:cNvPr>
        <xdr:cNvSpPr/>
      </xdr:nvSpPr>
      <xdr:spPr>
        <a:xfrm>
          <a:off x="8873061" y="638958"/>
          <a:ext cx="2484120" cy="413476"/>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Register</a:t>
          </a:r>
        </a:p>
      </xdr:txBody>
    </xdr:sp>
    <xdr:clientData/>
  </xdr:twoCellAnchor>
  <xdr:twoCellAnchor>
    <xdr:from>
      <xdr:col>19</xdr:col>
      <xdr:colOff>343935</xdr:colOff>
      <xdr:row>3</xdr:row>
      <xdr:rowOff>127638</xdr:rowOff>
    </xdr:from>
    <xdr:to>
      <xdr:col>23</xdr:col>
      <xdr:colOff>288177</xdr:colOff>
      <xdr:row>6</xdr:row>
      <xdr:rowOff>75533</xdr:rowOff>
    </xdr:to>
    <xdr:sp macro="" textlink="">
      <xdr:nvSpPr>
        <xdr:cNvPr id="18" name="Rectangle 17">
          <a:extLst>
            <a:ext uri="{FF2B5EF4-FFF2-40B4-BE49-F238E27FC236}">
              <a16:creationId xmlns:a16="http://schemas.microsoft.com/office/drawing/2014/main" id="{9BDB6013-F118-4610-8902-26D27843E50F}"/>
            </a:ext>
          </a:extLst>
        </xdr:cNvPr>
        <xdr:cNvSpPr/>
      </xdr:nvSpPr>
      <xdr:spPr>
        <a:xfrm>
          <a:off x="12017775" y="630558"/>
          <a:ext cx="2382642" cy="45081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Avg Temp</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nal%20dasbord%5e%5e.xlsx" TargetMode="External"/><Relationship Id="rId2" Type="http://schemas.openxmlformats.org/officeDocument/2006/relationships/externalLinkPath" Target="https://d.docs.live.net/bd76204093adc31a/Desktop/final%20dasbord%5e%5e.xlsx" TargetMode="External"/><Relationship Id="rId1" Type="http://schemas.openxmlformats.org/officeDocument/2006/relationships/externalLinkPath" Target="/bd76204093adc31a/Desktop/final%20dasbord%5e%5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set_1"/>
      <sheetName val="dataset_1 chart"/>
      <sheetName val="dataset_2"/>
      <sheetName val="dataset_2 chart."/>
      <sheetName val="Meaged_ dataset_1,2"/>
      <sheetName val="Meaged_ dataset_1,2 chart"/>
      <sheetName val="dataset_3"/>
      <sheetName val="dataset_3 chart"/>
      <sheetName val="Final dataset"/>
      <sheetName val="Final dataset chart"/>
      <sheetName val="Sheet22"/>
      <sheetName val="Dashbord"/>
    </sheetNames>
    <sheetDataSet>
      <sheetData sheetId="0"/>
      <sheetData sheetId="1"/>
      <sheetData sheetId="2"/>
      <sheetData sheetId="3"/>
      <sheetData sheetId="4"/>
      <sheetData sheetId="5"/>
      <sheetData sheetId="6"/>
      <sheetData sheetId="7"/>
      <sheetData sheetId="8">
        <row r="1">
          <cell r="U1" t="str">
            <v xml:space="preserve">Total </v>
          </cell>
        </row>
        <row r="2">
          <cell r="N2" t="str">
            <v>Low</v>
          </cell>
          <cell r="U2">
            <v>16</v>
          </cell>
        </row>
        <row r="3">
          <cell r="N3" t="str">
            <v>Low</v>
          </cell>
          <cell r="U3">
            <v>40</v>
          </cell>
        </row>
        <row r="4">
          <cell r="N4" t="str">
            <v>Low</v>
          </cell>
          <cell r="U4">
            <v>32</v>
          </cell>
        </row>
        <row r="5">
          <cell r="N5" t="str">
            <v>Low</v>
          </cell>
          <cell r="U5">
            <v>13</v>
          </cell>
        </row>
        <row r="6">
          <cell r="N6" t="str">
            <v>Low</v>
          </cell>
          <cell r="U6">
            <v>1</v>
          </cell>
        </row>
        <row r="7">
          <cell r="N7" t="str">
            <v>Low</v>
          </cell>
          <cell r="U7">
            <v>1</v>
          </cell>
        </row>
        <row r="8">
          <cell r="N8" t="str">
            <v>Low</v>
          </cell>
          <cell r="U8">
            <v>2</v>
          </cell>
        </row>
        <row r="9">
          <cell r="N9" t="str">
            <v>Low</v>
          </cell>
          <cell r="U9">
            <v>3</v>
          </cell>
        </row>
        <row r="10">
          <cell r="N10" t="str">
            <v>Low</v>
          </cell>
          <cell r="U10">
            <v>8</v>
          </cell>
        </row>
        <row r="11">
          <cell r="N11" t="str">
            <v>Medium</v>
          </cell>
          <cell r="U11">
            <v>14</v>
          </cell>
        </row>
        <row r="12">
          <cell r="N12" t="str">
            <v>Medium</v>
          </cell>
          <cell r="U12">
            <v>36</v>
          </cell>
        </row>
        <row r="13">
          <cell r="N13" t="str">
            <v>Medium</v>
          </cell>
          <cell r="U13">
            <v>56</v>
          </cell>
        </row>
        <row r="14">
          <cell r="N14" t="str">
            <v>Medium</v>
          </cell>
          <cell r="U14">
            <v>84</v>
          </cell>
        </row>
        <row r="15">
          <cell r="N15" t="str">
            <v>Medium</v>
          </cell>
          <cell r="U15">
            <v>94</v>
          </cell>
        </row>
        <row r="16">
          <cell r="N16" t="str">
            <v>Medium</v>
          </cell>
          <cell r="U16">
            <v>106</v>
          </cell>
        </row>
        <row r="17">
          <cell r="N17" t="str">
            <v>Medium</v>
          </cell>
          <cell r="U17">
            <v>110</v>
          </cell>
        </row>
        <row r="18">
          <cell r="N18" t="str">
            <v>Medium</v>
          </cell>
          <cell r="U18">
            <v>93</v>
          </cell>
        </row>
        <row r="19">
          <cell r="N19" t="str">
            <v>Medium</v>
          </cell>
          <cell r="U19">
            <v>67</v>
          </cell>
        </row>
        <row r="20">
          <cell r="N20" t="str">
            <v>Medium</v>
          </cell>
          <cell r="U20">
            <v>35</v>
          </cell>
        </row>
        <row r="21">
          <cell r="N21" t="str">
            <v>Medium</v>
          </cell>
          <cell r="U21">
            <v>37</v>
          </cell>
        </row>
        <row r="22">
          <cell r="N22" t="str">
            <v>Medium</v>
          </cell>
          <cell r="U22">
            <v>36</v>
          </cell>
        </row>
        <row r="23">
          <cell r="N23" t="str">
            <v>Medium</v>
          </cell>
          <cell r="U23">
            <v>34</v>
          </cell>
        </row>
        <row r="24">
          <cell r="N24" t="str">
            <v>Medium</v>
          </cell>
          <cell r="U24">
            <v>28</v>
          </cell>
        </row>
        <row r="25">
          <cell r="N25" t="str">
            <v>Medium</v>
          </cell>
          <cell r="U25">
            <v>39</v>
          </cell>
        </row>
        <row r="26">
          <cell r="N26" t="str">
            <v>Medium</v>
          </cell>
          <cell r="U26">
            <v>17</v>
          </cell>
        </row>
        <row r="27">
          <cell r="N27" t="str">
            <v>Medium</v>
          </cell>
          <cell r="U27">
            <v>17</v>
          </cell>
        </row>
        <row r="28">
          <cell r="N28" t="str">
            <v>Medium</v>
          </cell>
          <cell r="U28">
            <v>9</v>
          </cell>
        </row>
        <row r="29">
          <cell r="N29" t="str">
            <v>Medium</v>
          </cell>
          <cell r="U29">
            <v>6</v>
          </cell>
        </row>
        <row r="30">
          <cell r="N30" t="str">
            <v>Medium</v>
          </cell>
          <cell r="U30">
            <v>3</v>
          </cell>
        </row>
        <row r="31">
          <cell r="N31" t="str">
            <v>Medium</v>
          </cell>
          <cell r="U31">
            <v>2</v>
          </cell>
        </row>
        <row r="32">
          <cell r="N32" t="str">
            <v>Medium</v>
          </cell>
          <cell r="U32">
            <v>1</v>
          </cell>
        </row>
        <row r="33">
          <cell r="N33" t="str">
            <v>Medium</v>
          </cell>
          <cell r="U33">
            <v>8</v>
          </cell>
        </row>
        <row r="34">
          <cell r="N34" t="str">
            <v>Medium</v>
          </cell>
          <cell r="U34">
            <v>20</v>
          </cell>
        </row>
        <row r="35">
          <cell r="N35" t="str">
            <v>Medium</v>
          </cell>
          <cell r="U35">
            <v>53</v>
          </cell>
        </row>
        <row r="36">
          <cell r="N36" t="str">
            <v>Medium</v>
          </cell>
          <cell r="U36">
            <v>70</v>
          </cell>
        </row>
        <row r="37">
          <cell r="N37" t="str">
            <v>Medium</v>
          </cell>
          <cell r="U37">
            <v>93</v>
          </cell>
        </row>
        <row r="38">
          <cell r="N38" t="str">
            <v>Medium</v>
          </cell>
          <cell r="U38">
            <v>75</v>
          </cell>
        </row>
        <row r="39">
          <cell r="N39" t="str">
            <v>Medium</v>
          </cell>
          <cell r="U39">
            <v>59</v>
          </cell>
        </row>
        <row r="40">
          <cell r="N40" t="str">
            <v>Medium</v>
          </cell>
          <cell r="U40">
            <v>74</v>
          </cell>
        </row>
        <row r="41">
          <cell r="N41" t="str">
            <v>Medium</v>
          </cell>
          <cell r="U41">
            <v>76</v>
          </cell>
        </row>
        <row r="42">
          <cell r="N42" t="str">
            <v>Medium</v>
          </cell>
          <cell r="U42">
            <v>65</v>
          </cell>
        </row>
        <row r="43">
          <cell r="N43" t="str">
            <v>Medium</v>
          </cell>
          <cell r="U43">
            <v>53</v>
          </cell>
        </row>
        <row r="44">
          <cell r="N44" t="str">
            <v>Low</v>
          </cell>
          <cell r="U44">
            <v>30</v>
          </cell>
        </row>
        <row r="45">
          <cell r="N45" t="str">
            <v>Low</v>
          </cell>
          <cell r="U45">
            <v>22</v>
          </cell>
        </row>
        <row r="46">
          <cell r="N46" t="str">
            <v>Low</v>
          </cell>
          <cell r="U46">
            <v>31</v>
          </cell>
        </row>
        <row r="47">
          <cell r="N47" t="str">
            <v>Low</v>
          </cell>
          <cell r="U47">
            <v>9</v>
          </cell>
        </row>
        <row r="48">
          <cell r="N48" t="str">
            <v>Low</v>
          </cell>
          <cell r="U48">
            <v>8</v>
          </cell>
        </row>
        <row r="49">
          <cell r="N49" t="str">
            <v>Low</v>
          </cell>
          <cell r="U49">
            <v>5</v>
          </cell>
        </row>
        <row r="50">
          <cell r="N50" t="str">
            <v>Low</v>
          </cell>
          <cell r="U50">
            <v>2</v>
          </cell>
        </row>
        <row r="51">
          <cell r="N51" t="str">
            <v>Low</v>
          </cell>
          <cell r="U51">
            <v>1</v>
          </cell>
        </row>
        <row r="52">
          <cell r="N52" t="str">
            <v>Low</v>
          </cell>
          <cell r="U52">
            <v>3</v>
          </cell>
        </row>
        <row r="53">
          <cell r="N53" t="str">
            <v>Low</v>
          </cell>
          <cell r="U53">
            <v>30</v>
          </cell>
        </row>
        <row r="54">
          <cell r="N54" t="str">
            <v>Low</v>
          </cell>
          <cell r="U54">
            <v>64</v>
          </cell>
        </row>
        <row r="55">
          <cell r="N55" t="str">
            <v>Low</v>
          </cell>
          <cell r="U55">
            <v>154</v>
          </cell>
        </row>
        <row r="56">
          <cell r="N56" t="str">
            <v>Low</v>
          </cell>
          <cell r="U56">
            <v>88</v>
          </cell>
        </row>
        <row r="57">
          <cell r="N57" t="str">
            <v>Low</v>
          </cell>
          <cell r="U57">
            <v>44</v>
          </cell>
        </row>
        <row r="58">
          <cell r="N58" t="str">
            <v>Low</v>
          </cell>
          <cell r="U58">
            <v>51</v>
          </cell>
        </row>
        <row r="59">
          <cell r="N59" t="str">
            <v>Low</v>
          </cell>
          <cell r="U59">
            <v>61</v>
          </cell>
        </row>
        <row r="60">
          <cell r="N60" t="str">
            <v>Low</v>
          </cell>
          <cell r="U60">
            <v>61</v>
          </cell>
        </row>
        <row r="61">
          <cell r="N61" t="str">
            <v>Low</v>
          </cell>
          <cell r="U61">
            <v>77</v>
          </cell>
        </row>
        <row r="62">
          <cell r="N62" t="str">
            <v>Low</v>
          </cell>
          <cell r="U62">
            <v>72</v>
          </cell>
        </row>
        <row r="63">
          <cell r="N63" t="str">
            <v>Low</v>
          </cell>
          <cell r="U63">
            <v>76</v>
          </cell>
        </row>
        <row r="64">
          <cell r="N64" t="str">
            <v>Low</v>
          </cell>
          <cell r="U64">
            <v>157</v>
          </cell>
        </row>
        <row r="65">
          <cell r="N65" t="str">
            <v>Low</v>
          </cell>
          <cell r="U65">
            <v>157</v>
          </cell>
        </row>
        <row r="66">
          <cell r="N66" t="str">
            <v>Low</v>
          </cell>
          <cell r="U66">
            <v>110</v>
          </cell>
        </row>
        <row r="67">
          <cell r="N67" t="str">
            <v>Low</v>
          </cell>
          <cell r="U67">
            <v>52</v>
          </cell>
        </row>
        <row r="68">
          <cell r="N68" t="str">
            <v>Low</v>
          </cell>
          <cell r="U68">
            <v>52</v>
          </cell>
        </row>
        <row r="69">
          <cell r="N69" t="str">
            <v>Low</v>
          </cell>
          <cell r="U69">
            <v>20</v>
          </cell>
        </row>
        <row r="70">
          <cell r="N70" t="str">
            <v>Low</v>
          </cell>
          <cell r="U70">
            <v>12</v>
          </cell>
        </row>
        <row r="71">
          <cell r="N71" t="str">
            <v>Low</v>
          </cell>
          <cell r="U71">
            <v>5</v>
          </cell>
        </row>
        <row r="72">
          <cell r="N72" t="str">
            <v>Low</v>
          </cell>
          <cell r="U72">
            <v>2</v>
          </cell>
        </row>
        <row r="73">
          <cell r="N73" t="str">
            <v>Low</v>
          </cell>
          <cell r="U73">
            <v>1</v>
          </cell>
        </row>
        <row r="74">
          <cell r="N74" t="str">
            <v>Low</v>
          </cell>
          <cell r="U74">
            <v>2</v>
          </cell>
        </row>
        <row r="75">
          <cell r="N75" t="str">
            <v>Low</v>
          </cell>
          <cell r="U75">
            <v>4</v>
          </cell>
        </row>
        <row r="76">
          <cell r="N76" t="str">
            <v>Low</v>
          </cell>
          <cell r="U76">
            <v>36</v>
          </cell>
        </row>
        <row r="77">
          <cell r="N77" t="str">
            <v>Low</v>
          </cell>
          <cell r="U77">
            <v>94</v>
          </cell>
        </row>
        <row r="78">
          <cell r="N78" t="str">
            <v>Low</v>
          </cell>
          <cell r="U78">
            <v>179</v>
          </cell>
        </row>
        <row r="79">
          <cell r="N79" t="str">
            <v>Low</v>
          </cell>
          <cell r="U79">
            <v>100</v>
          </cell>
        </row>
        <row r="80">
          <cell r="N80" t="str">
            <v>Low</v>
          </cell>
          <cell r="U80">
            <v>42</v>
          </cell>
        </row>
        <row r="81">
          <cell r="N81" t="str">
            <v>Low</v>
          </cell>
          <cell r="U81">
            <v>57</v>
          </cell>
        </row>
        <row r="82">
          <cell r="N82" t="str">
            <v>Low</v>
          </cell>
          <cell r="U82">
            <v>78</v>
          </cell>
        </row>
        <row r="83">
          <cell r="N83" t="str">
            <v>Low</v>
          </cell>
          <cell r="U83">
            <v>97</v>
          </cell>
        </row>
        <row r="84">
          <cell r="N84" t="str">
            <v>Low</v>
          </cell>
          <cell r="U84">
            <v>63</v>
          </cell>
        </row>
        <row r="85">
          <cell r="N85" t="str">
            <v>Low</v>
          </cell>
          <cell r="U85">
            <v>65</v>
          </cell>
        </row>
        <row r="86">
          <cell r="N86" t="str">
            <v>Low</v>
          </cell>
          <cell r="U86">
            <v>83</v>
          </cell>
        </row>
        <row r="87">
          <cell r="N87" t="str">
            <v>Low</v>
          </cell>
          <cell r="U87">
            <v>212</v>
          </cell>
        </row>
        <row r="88">
          <cell r="N88" t="str">
            <v>Low</v>
          </cell>
          <cell r="U88">
            <v>182</v>
          </cell>
        </row>
        <row r="89">
          <cell r="N89" t="str">
            <v>Low</v>
          </cell>
          <cell r="U89">
            <v>112</v>
          </cell>
        </row>
        <row r="90">
          <cell r="N90" t="str">
            <v>Low</v>
          </cell>
          <cell r="U90">
            <v>54</v>
          </cell>
        </row>
        <row r="91">
          <cell r="N91" t="str">
            <v>Low</v>
          </cell>
          <cell r="U91">
            <v>48</v>
          </cell>
        </row>
        <row r="92">
          <cell r="N92" t="str">
            <v>Low</v>
          </cell>
          <cell r="U92">
            <v>35</v>
          </cell>
        </row>
        <row r="93">
          <cell r="N93" t="str">
            <v>Low</v>
          </cell>
          <cell r="U93">
            <v>11</v>
          </cell>
        </row>
        <row r="94">
          <cell r="N94" t="str">
            <v>Low</v>
          </cell>
          <cell r="U94">
            <v>6</v>
          </cell>
        </row>
        <row r="95">
          <cell r="N95" t="str">
            <v>Low</v>
          </cell>
          <cell r="U95">
            <v>6</v>
          </cell>
        </row>
        <row r="96">
          <cell r="N96" t="str">
            <v>Low</v>
          </cell>
          <cell r="U96">
            <v>2</v>
          </cell>
        </row>
        <row r="97">
          <cell r="N97" t="str">
            <v>Low</v>
          </cell>
          <cell r="U97">
            <v>2</v>
          </cell>
        </row>
        <row r="98">
          <cell r="N98" t="str">
            <v>Low</v>
          </cell>
          <cell r="U98">
            <v>3</v>
          </cell>
        </row>
        <row r="99">
          <cell r="N99" t="str">
            <v>Low</v>
          </cell>
          <cell r="U99">
            <v>33</v>
          </cell>
        </row>
        <row r="100">
          <cell r="N100" t="str">
            <v>Low</v>
          </cell>
          <cell r="U100">
            <v>88</v>
          </cell>
        </row>
        <row r="101">
          <cell r="N101" t="str">
            <v>Low</v>
          </cell>
          <cell r="U101">
            <v>195</v>
          </cell>
        </row>
        <row r="102">
          <cell r="N102" t="str">
            <v>Low</v>
          </cell>
          <cell r="U102">
            <v>115</v>
          </cell>
        </row>
        <row r="103">
          <cell r="N103" t="str">
            <v>Low</v>
          </cell>
          <cell r="U103">
            <v>57</v>
          </cell>
        </row>
        <row r="104">
          <cell r="N104" t="str">
            <v>Low</v>
          </cell>
          <cell r="U104">
            <v>46</v>
          </cell>
        </row>
        <row r="105">
          <cell r="N105" t="str">
            <v>Low</v>
          </cell>
          <cell r="U105">
            <v>79</v>
          </cell>
        </row>
        <row r="106">
          <cell r="N106" t="str">
            <v>Low</v>
          </cell>
          <cell r="U106">
            <v>71</v>
          </cell>
        </row>
        <row r="107">
          <cell r="N107" t="str">
            <v>Low</v>
          </cell>
          <cell r="U107">
            <v>62</v>
          </cell>
        </row>
        <row r="108">
          <cell r="N108" t="str">
            <v>Low</v>
          </cell>
          <cell r="U108">
            <v>62</v>
          </cell>
        </row>
        <row r="109">
          <cell r="N109" t="str">
            <v>Medium</v>
          </cell>
          <cell r="U109">
            <v>89</v>
          </cell>
        </row>
        <row r="110">
          <cell r="N110" t="str">
            <v>Low</v>
          </cell>
          <cell r="U110">
            <v>190</v>
          </cell>
        </row>
        <row r="111">
          <cell r="N111" t="str">
            <v>Low</v>
          </cell>
          <cell r="U111">
            <v>169</v>
          </cell>
        </row>
        <row r="112">
          <cell r="N112" t="str">
            <v>Low</v>
          </cell>
          <cell r="U112">
            <v>132</v>
          </cell>
        </row>
        <row r="113">
          <cell r="N113" t="str">
            <v>Low</v>
          </cell>
          <cell r="U113">
            <v>89</v>
          </cell>
        </row>
        <row r="114">
          <cell r="N114" t="str">
            <v>Low</v>
          </cell>
          <cell r="U114">
            <v>43</v>
          </cell>
        </row>
        <row r="115">
          <cell r="N115" t="str">
            <v>Low</v>
          </cell>
          <cell r="U115">
            <v>42</v>
          </cell>
        </row>
        <row r="116">
          <cell r="N116" t="str">
            <v>Low</v>
          </cell>
          <cell r="U116">
            <v>19</v>
          </cell>
        </row>
        <row r="117">
          <cell r="N117" t="str">
            <v>Low</v>
          </cell>
          <cell r="U117">
            <v>11</v>
          </cell>
        </row>
        <row r="118">
          <cell r="N118" t="str">
            <v>Low</v>
          </cell>
          <cell r="U118">
            <v>4</v>
          </cell>
        </row>
        <row r="119">
          <cell r="N119" t="str">
            <v>Low</v>
          </cell>
          <cell r="U119">
            <v>2</v>
          </cell>
        </row>
        <row r="120">
          <cell r="N120" t="str">
            <v>Low</v>
          </cell>
          <cell r="U120">
            <v>1</v>
          </cell>
        </row>
        <row r="121">
          <cell r="N121" t="str">
            <v>Low</v>
          </cell>
          <cell r="U121">
            <v>4</v>
          </cell>
        </row>
        <row r="122">
          <cell r="N122" t="str">
            <v>Low</v>
          </cell>
          <cell r="U122">
            <v>36</v>
          </cell>
        </row>
        <row r="123">
          <cell r="N123" t="str">
            <v>Low</v>
          </cell>
          <cell r="U123">
            <v>95</v>
          </cell>
        </row>
        <row r="124">
          <cell r="N124" t="str">
            <v>Low</v>
          </cell>
          <cell r="U124">
            <v>219</v>
          </cell>
        </row>
        <row r="125">
          <cell r="N125" t="str">
            <v>Low</v>
          </cell>
          <cell r="U125">
            <v>122</v>
          </cell>
        </row>
        <row r="126">
          <cell r="N126" t="str">
            <v>Low</v>
          </cell>
          <cell r="U126">
            <v>45</v>
          </cell>
        </row>
        <row r="127">
          <cell r="N127" t="str">
            <v>Low</v>
          </cell>
          <cell r="U127">
            <v>59</v>
          </cell>
        </row>
        <row r="128">
          <cell r="N128" t="str">
            <v>Low</v>
          </cell>
          <cell r="U128">
            <v>84</v>
          </cell>
        </row>
        <row r="129">
          <cell r="N129" t="str">
            <v>Low</v>
          </cell>
          <cell r="U129">
            <v>67</v>
          </cell>
        </row>
        <row r="130">
          <cell r="N130" t="str">
            <v>Low</v>
          </cell>
          <cell r="U130">
            <v>70</v>
          </cell>
        </row>
        <row r="131">
          <cell r="N131" t="str">
            <v>Low</v>
          </cell>
          <cell r="U131">
            <v>62</v>
          </cell>
        </row>
        <row r="132">
          <cell r="N132" t="str">
            <v>Low</v>
          </cell>
          <cell r="U132">
            <v>86</v>
          </cell>
        </row>
        <row r="133">
          <cell r="N133" t="str">
            <v>Low</v>
          </cell>
          <cell r="U133">
            <v>172</v>
          </cell>
        </row>
        <row r="134">
          <cell r="N134" t="str">
            <v>Low</v>
          </cell>
          <cell r="U134">
            <v>163</v>
          </cell>
        </row>
        <row r="135">
          <cell r="N135" t="str">
            <v>Low</v>
          </cell>
          <cell r="U135">
            <v>112</v>
          </cell>
        </row>
        <row r="136">
          <cell r="N136" t="str">
            <v>Low</v>
          </cell>
          <cell r="U136">
            <v>69</v>
          </cell>
        </row>
        <row r="137">
          <cell r="N137" t="str">
            <v>Low</v>
          </cell>
          <cell r="U137">
            <v>48</v>
          </cell>
        </row>
        <row r="138">
          <cell r="N138" t="str">
            <v>Low</v>
          </cell>
          <cell r="U138">
            <v>52</v>
          </cell>
        </row>
        <row r="139">
          <cell r="N139" t="str">
            <v>Low</v>
          </cell>
          <cell r="U139">
            <v>23</v>
          </cell>
        </row>
        <row r="140">
          <cell r="N140" t="str">
            <v>Low</v>
          </cell>
          <cell r="U140">
            <v>17</v>
          </cell>
        </row>
        <row r="141">
          <cell r="N141" t="str">
            <v>Low</v>
          </cell>
          <cell r="U141">
            <v>7</v>
          </cell>
        </row>
        <row r="142">
          <cell r="N142" t="str">
            <v>Low</v>
          </cell>
          <cell r="U142">
            <v>1</v>
          </cell>
        </row>
        <row r="143">
          <cell r="N143" t="str">
            <v>Low</v>
          </cell>
          <cell r="U143">
            <v>1</v>
          </cell>
        </row>
        <row r="144">
          <cell r="N144" t="str">
            <v>Low</v>
          </cell>
          <cell r="U144">
            <v>5</v>
          </cell>
        </row>
        <row r="145">
          <cell r="N145" t="str">
            <v>Low</v>
          </cell>
          <cell r="U145">
            <v>34</v>
          </cell>
        </row>
        <row r="146">
          <cell r="N146" t="str">
            <v>Low</v>
          </cell>
          <cell r="U146">
            <v>84</v>
          </cell>
        </row>
        <row r="147">
          <cell r="N147" t="str">
            <v>Low</v>
          </cell>
          <cell r="U147">
            <v>210</v>
          </cell>
        </row>
        <row r="148">
          <cell r="N148" t="str">
            <v>Low</v>
          </cell>
          <cell r="U148">
            <v>134</v>
          </cell>
        </row>
        <row r="149">
          <cell r="N149" t="str">
            <v>Low</v>
          </cell>
          <cell r="U149">
            <v>63</v>
          </cell>
        </row>
        <row r="150">
          <cell r="N150" t="str">
            <v>Low</v>
          </cell>
          <cell r="U150">
            <v>67</v>
          </cell>
        </row>
        <row r="151">
          <cell r="N151" t="str">
            <v>Low</v>
          </cell>
          <cell r="U151">
            <v>59</v>
          </cell>
        </row>
        <row r="152">
          <cell r="N152" t="str">
            <v>Low</v>
          </cell>
          <cell r="U152">
            <v>73</v>
          </cell>
        </row>
        <row r="153">
          <cell r="N153" t="str">
            <v>Low</v>
          </cell>
          <cell r="U153">
            <v>50</v>
          </cell>
        </row>
        <row r="154">
          <cell r="N154" t="str">
            <v>Low</v>
          </cell>
          <cell r="U154">
            <v>72</v>
          </cell>
        </row>
        <row r="155">
          <cell r="N155" t="str">
            <v>Low</v>
          </cell>
          <cell r="U155">
            <v>87</v>
          </cell>
        </row>
        <row r="156">
          <cell r="N156" t="str">
            <v>Low</v>
          </cell>
          <cell r="U156">
            <v>187</v>
          </cell>
        </row>
        <row r="157">
          <cell r="N157" t="str">
            <v>Low</v>
          </cell>
          <cell r="U157">
            <v>123</v>
          </cell>
        </row>
        <row r="158">
          <cell r="N158" t="str">
            <v>Low</v>
          </cell>
          <cell r="U158">
            <v>95</v>
          </cell>
        </row>
        <row r="159">
          <cell r="N159" t="str">
            <v>Low</v>
          </cell>
          <cell r="U159">
            <v>51</v>
          </cell>
        </row>
        <row r="160">
          <cell r="N160" t="str">
            <v>Low</v>
          </cell>
          <cell r="U160">
            <v>39</v>
          </cell>
        </row>
        <row r="161">
          <cell r="N161" t="str">
            <v>Low</v>
          </cell>
          <cell r="U161">
            <v>36</v>
          </cell>
        </row>
        <row r="162">
          <cell r="N162" t="str">
            <v>Low</v>
          </cell>
          <cell r="U162">
            <v>15</v>
          </cell>
        </row>
        <row r="163">
          <cell r="N163" t="str">
            <v>Low</v>
          </cell>
          <cell r="U163">
            <v>25</v>
          </cell>
        </row>
        <row r="164">
          <cell r="N164" t="str">
            <v>Low</v>
          </cell>
          <cell r="U164">
            <v>16</v>
          </cell>
        </row>
        <row r="165">
          <cell r="N165" t="str">
            <v>Low</v>
          </cell>
          <cell r="U165">
            <v>16</v>
          </cell>
        </row>
        <row r="166">
          <cell r="N166" t="str">
            <v>Low</v>
          </cell>
          <cell r="U166">
            <v>7</v>
          </cell>
        </row>
        <row r="167">
          <cell r="N167" t="str">
            <v>Low</v>
          </cell>
          <cell r="U167">
            <v>1</v>
          </cell>
        </row>
        <row r="168">
          <cell r="N168" t="str">
            <v>Low</v>
          </cell>
          <cell r="U168">
            <v>5</v>
          </cell>
        </row>
        <row r="169">
          <cell r="N169" t="str">
            <v>Low</v>
          </cell>
          <cell r="U169">
            <v>2</v>
          </cell>
        </row>
        <row r="170">
          <cell r="N170" t="str">
            <v>Low</v>
          </cell>
          <cell r="U170">
            <v>9</v>
          </cell>
        </row>
        <row r="171">
          <cell r="N171" t="str">
            <v>Low</v>
          </cell>
          <cell r="U171">
            <v>15</v>
          </cell>
        </row>
        <row r="172">
          <cell r="N172" t="str">
            <v>Low</v>
          </cell>
          <cell r="U172">
            <v>20</v>
          </cell>
        </row>
        <row r="173">
          <cell r="N173" t="str">
            <v>Low</v>
          </cell>
          <cell r="U173">
            <v>61</v>
          </cell>
        </row>
        <row r="174">
          <cell r="N174" t="str">
            <v>Low</v>
          </cell>
          <cell r="U174">
            <v>62</v>
          </cell>
        </row>
        <row r="175">
          <cell r="N175" t="str">
            <v>Low</v>
          </cell>
          <cell r="U175">
            <v>98</v>
          </cell>
        </row>
        <row r="176">
          <cell r="N176" t="str">
            <v>Low</v>
          </cell>
          <cell r="U176">
            <v>102</v>
          </cell>
        </row>
        <row r="177">
          <cell r="N177" t="str">
            <v>Low</v>
          </cell>
          <cell r="U177">
            <v>95</v>
          </cell>
        </row>
        <row r="178">
          <cell r="N178" t="str">
            <v>Low</v>
          </cell>
          <cell r="U178">
            <v>74</v>
          </cell>
        </row>
        <row r="179">
          <cell r="N179" t="str">
            <v>Low</v>
          </cell>
          <cell r="U179">
            <v>76</v>
          </cell>
        </row>
        <row r="180">
          <cell r="N180" t="str">
            <v>Low</v>
          </cell>
          <cell r="U180">
            <v>69</v>
          </cell>
        </row>
        <row r="181">
          <cell r="N181" t="str">
            <v>Low</v>
          </cell>
          <cell r="U181">
            <v>55</v>
          </cell>
        </row>
        <row r="182">
          <cell r="N182" t="str">
            <v>Low</v>
          </cell>
          <cell r="U182">
            <v>30</v>
          </cell>
        </row>
        <row r="183">
          <cell r="N183" t="str">
            <v>Low</v>
          </cell>
          <cell r="U183">
            <v>28</v>
          </cell>
        </row>
        <row r="184">
          <cell r="N184" t="str">
            <v>Low</v>
          </cell>
          <cell r="U184">
            <v>37</v>
          </cell>
        </row>
        <row r="185">
          <cell r="N185" t="str">
            <v>Low</v>
          </cell>
          <cell r="U185">
            <v>34</v>
          </cell>
        </row>
        <row r="186">
          <cell r="N186" t="str">
            <v>Low</v>
          </cell>
          <cell r="U186">
            <v>22</v>
          </cell>
        </row>
        <row r="187">
          <cell r="N187" t="str">
            <v>Low</v>
          </cell>
          <cell r="U187">
            <v>25</v>
          </cell>
        </row>
        <row r="188">
          <cell r="N188" t="str">
            <v>Low</v>
          </cell>
          <cell r="U188">
            <v>12</v>
          </cell>
        </row>
        <row r="189">
          <cell r="N189" t="str">
            <v>Low</v>
          </cell>
          <cell r="U189">
            <v>11</v>
          </cell>
        </row>
        <row r="190">
          <cell r="N190" t="str">
            <v>Low</v>
          </cell>
          <cell r="U190">
            <v>4</v>
          </cell>
        </row>
        <row r="191">
          <cell r="N191" t="str">
            <v>Low</v>
          </cell>
          <cell r="U191">
            <v>1</v>
          </cell>
        </row>
        <row r="192">
          <cell r="N192" t="str">
            <v>Low</v>
          </cell>
          <cell r="U192">
            <v>1</v>
          </cell>
        </row>
        <row r="193">
          <cell r="N193" t="str">
            <v>Low</v>
          </cell>
          <cell r="U193">
            <v>1</v>
          </cell>
        </row>
        <row r="194">
          <cell r="N194" t="str">
            <v>Low</v>
          </cell>
          <cell r="U194">
            <v>6</v>
          </cell>
        </row>
        <row r="195">
          <cell r="N195" t="str">
            <v>Low</v>
          </cell>
          <cell r="U195">
            <v>10</v>
          </cell>
        </row>
        <row r="196">
          <cell r="N196" t="str">
            <v>Low</v>
          </cell>
          <cell r="U196">
            <v>19</v>
          </cell>
        </row>
        <row r="197">
          <cell r="N197" t="str">
            <v>Low</v>
          </cell>
          <cell r="U197">
            <v>49</v>
          </cell>
        </row>
        <row r="198">
          <cell r="N198" t="str">
            <v>Low</v>
          </cell>
          <cell r="U198">
            <v>49</v>
          </cell>
        </row>
        <row r="199">
          <cell r="N199" t="str">
            <v>Low</v>
          </cell>
          <cell r="U199">
            <v>83</v>
          </cell>
        </row>
        <row r="200">
          <cell r="N200" t="str">
            <v>Low</v>
          </cell>
          <cell r="U200">
            <v>75</v>
          </cell>
        </row>
        <row r="201">
          <cell r="N201" t="str">
            <v>Low</v>
          </cell>
          <cell r="U201">
            <v>72</v>
          </cell>
        </row>
        <row r="202">
          <cell r="N202" t="str">
            <v>Low</v>
          </cell>
          <cell r="U202">
            <v>82</v>
          </cell>
        </row>
        <row r="203">
          <cell r="N203" t="str">
            <v>Low</v>
          </cell>
          <cell r="U203">
            <v>92</v>
          </cell>
        </row>
        <row r="204">
          <cell r="N204" t="str">
            <v>Low</v>
          </cell>
          <cell r="U204">
            <v>62</v>
          </cell>
        </row>
        <row r="205">
          <cell r="N205" t="str">
            <v>Low</v>
          </cell>
          <cell r="U205">
            <v>48</v>
          </cell>
        </row>
        <row r="206">
          <cell r="N206" t="str">
            <v>Low</v>
          </cell>
          <cell r="U206">
            <v>41</v>
          </cell>
        </row>
        <row r="207">
          <cell r="N207" t="str">
            <v>Low</v>
          </cell>
          <cell r="U207">
            <v>38</v>
          </cell>
        </row>
        <row r="208">
          <cell r="N208" t="str">
            <v>Low</v>
          </cell>
          <cell r="U208">
            <v>20</v>
          </cell>
        </row>
        <row r="209">
          <cell r="N209" t="str">
            <v>Low</v>
          </cell>
          <cell r="U209">
            <v>15</v>
          </cell>
        </row>
        <row r="210">
          <cell r="N210" t="str">
            <v>Low</v>
          </cell>
          <cell r="U210">
            <v>6</v>
          </cell>
        </row>
        <row r="211">
          <cell r="N211" t="str">
            <v>Low</v>
          </cell>
          <cell r="U211">
            <v>5</v>
          </cell>
        </row>
        <row r="212">
          <cell r="N212" t="str">
            <v>Low</v>
          </cell>
          <cell r="U212">
            <v>1</v>
          </cell>
        </row>
        <row r="213">
          <cell r="N213" t="str">
            <v>Low</v>
          </cell>
          <cell r="U213">
            <v>3</v>
          </cell>
        </row>
        <row r="214">
          <cell r="N214" t="str">
            <v>Low</v>
          </cell>
          <cell r="U214">
            <v>1</v>
          </cell>
        </row>
        <row r="215">
          <cell r="N215" t="str">
            <v>Low</v>
          </cell>
          <cell r="U215">
            <v>3</v>
          </cell>
        </row>
        <row r="216">
          <cell r="N216" t="str">
            <v>Low</v>
          </cell>
          <cell r="U216">
            <v>3</v>
          </cell>
        </row>
        <row r="217">
          <cell r="N217" t="str">
            <v>Low</v>
          </cell>
          <cell r="U217">
            <v>31</v>
          </cell>
        </row>
        <row r="218">
          <cell r="N218" t="str">
            <v>Low</v>
          </cell>
          <cell r="U218">
            <v>77</v>
          </cell>
        </row>
        <row r="219">
          <cell r="N219" t="str">
            <v>Low</v>
          </cell>
          <cell r="U219">
            <v>188</v>
          </cell>
        </row>
        <row r="220">
          <cell r="N220" t="str">
            <v>Low</v>
          </cell>
          <cell r="U220">
            <v>94</v>
          </cell>
        </row>
        <row r="221">
          <cell r="N221" t="str">
            <v>Low</v>
          </cell>
          <cell r="U221">
            <v>31</v>
          </cell>
        </row>
        <row r="222">
          <cell r="N222" t="str">
            <v>Low</v>
          </cell>
          <cell r="U222">
            <v>30</v>
          </cell>
        </row>
        <row r="223">
          <cell r="N223" t="str">
            <v>Low</v>
          </cell>
          <cell r="U223">
            <v>52</v>
          </cell>
        </row>
        <row r="224">
          <cell r="N224" t="str">
            <v>Low</v>
          </cell>
          <cell r="U224">
            <v>54</v>
          </cell>
        </row>
        <row r="225">
          <cell r="N225" t="str">
            <v>Low</v>
          </cell>
          <cell r="U225">
            <v>47</v>
          </cell>
        </row>
        <row r="226">
          <cell r="N226" t="str">
            <v>Low</v>
          </cell>
          <cell r="U226">
            <v>45</v>
          </cell>
        </row>
        <row r="227">
          <cell r="N227" t="str">
            <v>Low</v>
          </cell>
          <cell r="U227">
            <v>74</v>
          </cell>
        </row>
        <row r="228">
          <cell r="N228" t="str">
            <v>Low</v>
          </cell>
          <cell r="U228">
            <v>178</v>
          </cell>
        </row>
        <row r="229">
          <cell r="N229" t="str">
            <v>Low</v>
          </cell>
          <cell r="U229">
            <v>155</v>
          </cell>
        </row>
        <row r="230">
          <cell r="N230" t="str">
            <v>Low</v>
          </cell>
          <cell r="U230">
            <v>95</v>
          </cell>
        </row>
        <row r="231">
          <cell r="N231" t="str">
            <v>Low</v>
          </cell>
          <cell r="U231">
            <v>74</v>
          </cell>
        </row>
        <row r="232">
          <cell r="N232" t="str">
            <v>Low</v>
          </cell>
          <cell r="U232">
            <v>38</v>
          </cell>
        </row>
        <row r="233">
          <cell r="N233" t="str">
            <v>Low</v>
          </cell>
          <cell r="U233">
            <v>24</v>
          </cell>
        </row>
        <row r="234">
          <cell r="N234" t="str">
            <v>Low</v>
          </cell>
          <cell r="U234">
            <v>18</v>
          </cell>
        </row>
        <row r="235">
          <cell r="N235" t="str">
            <v>Low</v>
          </cell>
          <cell r="U235">
            <v>12</v>
          </cell>
        </row>
        <row r="236">
          <cell r="N236" t="str">
            <v>Low</v>
          </cell>
          <cell r="U236">
            <v>3</v>
          </cell>
        </row>
        <row r="237">
          <cell r="N237" t="str">
            <v>Low</v>
          </cell>
          <cell r="U237">
            <v>3</v>
          </cell>
        </row>
        <row r="238">
          <cell r="N238" t="str">
            <v>Low</v>
          </cell>
          <cell r="U238">
            <v>6</v>
          </cell>
        </row>
        <row r="239">
          <cell r="N239" t="str">
            <v>Low</v>
          </cell>
          <cell r="U239">
            <v>27</v>
          </cell>
        </row>
        <row r="240">
          <cell r="N240" t="str">
            <v>Low</v>
          </cell>
          <cell r="U240">
            <v>99</v>
          </cell>
        </row>
        <row r="241">
          <cell r="N241" t="str">
            <v>Low</v>
          </cell>
          <cell r="U241">
            <v>217</v>
          </cell>
        </row>
        <row r="242">
          <cell r="N242" t="str">
            <v>Low</v>
          </cell>
          <cell r="U242">
            <v>130</v>
          </cell>
        </row>
        <row r="243">
          <cell r="N243" t="str">
            <v>Low</v>
          </cell>
          <cell r="U243">
            <v>54</v>
          </cell>
        </row>
        <row r="244">
          <cell r="N244" t="str">
            <v>Low</v>
          </cell>
          <cell r="U244">
            <v>35</v>
          </cell>
        </row>
        <row r="245">
          <cell r="N245" t="str">
            <v>Low</v>
          </cell>
          <cell r="U245">
            <v>57</v>
          </cell>
        </row>
        <row r="246">
          <cell r="N246" t="str">
            <v>Low</v>
          </cell>
          <cell r="U246">
            <v>52</v>
          </cell>
        </row>
        <row r="247">
          <cell r="N247" t="str">
            <v>Low</v>
          </cell>
          <cell r="U247">
            <v>63</v>
          </cell>
        </row>
        <row r="248">
          <cell r="N248" t="str">
            <v>Low</v>
          </cell>
          <cell r="U248">
            <v>47</v>
          </cell>
        </row>
        <row r="249">
          <cell r="N249" t="str">
            <v>Low</v>
          </cell>
          <cell r="U249">
            <v>76</v>
          </cell>
        </row>
        <row r="250">
          <cell r="N250" t="str">
            <v>Low</v>
          </cell>
          <cell r="U250">
            <v>136</v>
          </cell>
        </row>
        <row r="251">
          <cell r="N251" t="str">
            <v>Low</v>
          </cell>
          <cell r="U251">
            <v>95</v>
          </cell>
        </row>
        <row r="252">
          <cell r="N252" t="str">
            <v>Low</v>
          </cell>
          <cell r="U252">
            <v>51</v>
          </cell>
        </row>
        <row r="253">
          <cell r="N253" t="str">
            <v>Low</v>
          </cell>
          <cell r="U253">
            <v>32</v>
          </cell>
        </row>
        <row r="254">
          <cell r="N254" t="str">
            <v>Low</v>
          </cell>
          <cell r="U254">
            <v>20</v>
          </cell>
        </row>
        <row r="255">
          <cell r="N255" t="str">
            <v>Low</v>
          </cell>
          <cell r="U255">
            <v>29</v>
          </cell>
        </row>
        <row r="256">
          <cell r="N256" t="str">
            <v>Low</v>
          </cell>
          <cell r="U256">
            <v>19</v>
          </cell>
        </row>
        <row r="257">
          <cell r="N257" t="str">
            <v>Low</v>
          </cell>
          <cell r="U257">
            <v>7</v>
          </cell>
        </row>
        <row r="258">
          <cell r="N258" t="str">
            <v>Low</v>
          </cell>
          <cell r="U258">
            <v>6</v>
          </cell>
        </row>
        <row r="259">
          <cell r="N259" t="str">
            <v>Low</v>
          </cell>
          <cell r="U259">
            <v>1</v>
          </cell>
        </row>
        <row r="260">
          <cell r="N260" t="str">
            <v>Low</v>
          </cell>
          <cell r="U260">
            <v>5</v>
          </cell>
        </row>
        <row r="261">
          <cell r="N261" t="str">
            <v>Low</v>
          </cell>
          <cell r="U261">
            <v>16</v>
          </cell>
        </row>
        <row r="262">
          <cell r="N262" t="str">
            <v>Low</v>
          </cell>
          <cell r="U262">
            <v>54</v>
          </cell>
        </row>
        <row r="263">
          <cell r="N263" t="str">
            <v>Low</v>
          </cell>
          <cell r="U263">
            <v>128</v>
          </cell>
        </row>
        <row r="264">
          <cell r="N264" t="str">
            <v>Low</v>
          </cell>
          <cell r="U264">
            <v>81</v>
          </cell>
        </row>
        <row r="265">
          <cell r="N265" t="str">
            <v>Low</v>
          </cell>
          <cell r="U265">
            <v>39</v>
          </cell>
        </row>
        <row r="266">
          <cell r="N266" t="str">
            <v>Low</v>
          </cell>
          <cell r="U266">
            <v>35</v>
          </cell>
        </row>
        <row r="267">
          <cell r="N267" t="str">
            <v>Low</v>
          </cell>
          <cell r="U267">
            <v>55</v>
          </cell>
        </row>
        <row r="268">
          <cell r="N268" t="str">
            <v>Low</v>
          </cell>
          <cell r="U268">
            <v>49</v>
          </cell>
        </row>
        <row r="269">
          <cell r="N269" t="str">
            <v>Low</v>
          </cell>
          <cell r="U269">
            <v>44</v>
          </cell>
        </row>
        <row r="270">
          <cell r="N270" t="str">
            <v>Low</v>
          </cell>
          <cell r="U270">
            <v>49</v>
          </cell>
        </row>
        <row r="271">
          <cell r="N271" t="str">
            <v>Low</v>
          </cell>
          <cell r="U271">
            <v>68</v>
          </cell>
        </row>
        <row r="272">
          <cell r="N272" t="str">
            <v>Low</v>
          </cell>
          <cell r="U272">
            <v>139</v>
          </cell>
        </row>
        <row r="273">
          <cell r="N273" t="str">
            <v>Low</v>
          </cell>
          <cell r="U273">
            <v>137</v>
          </cell>
        </row>
        <row r="274">
          <cell r="N274" t="str">
            <v>Low</v>
          </cell>
          <cell r="U274">
            <v>83</v>
          </cell>
        </row>
        <row r="275">
          <cell r="N275" t="str">
            <v>Low</v>
          </cell>
          <cell r="U275">
            <v>56</v>
          </cell>
        </row>
        <row r="276">
          <cell r="N276" t="str">
            <v>Low</v>
          </cell>
          <cell r="U276">
            <v>57</v>
          </cell>
        </row>
        <row r="277">
          <cell r="N277" t="str">
            <v>Low</v>
          </cell>
          <cell r="U277">
            <v>33</v>
          </cell>
        </row>
        <row r="278">
          <cell r="N278" t="str">
            <v>Low</v>
          </cell>
          <cell r="U278">
            <v>20</v>
          </cell>
        </row>
        <row r="279">
          <cell r="N279" t="str">
            <v>Low</v>
          </cell>
          <cell r="U279">
            <v>7</v>
          </cell>
        </row>
        <row r="280">
          <cell r="N280" t="str">
            <v>Low</v>
          </cell>
          <cell r="U280">
            <v>2</v>
          </cell>
        </row>
        <row r="281">
          <cell r="N281" t="str">
            <v>Low</v>
          </cell>
          <cell r="U281">
            <v>2</v>
          </cell>
        </row>
        <row r="282">
          <cell r="N282" t="str">
            <v>Low</v>
          </cell>
          <cell r="U282">
            <v>3</v>
          </cell>
        </row>
        <row r="283">
          <cell r="N283" t="str">
            <v>Low</v>
          </cell>
          <cell r="U283">
            <v>4</v>
          </cell>
        </row>
        <row r="284">
          <cell r="N284" t="str">
            <v>Low</v>
          </cell>
          <cell r="U284">
            <v>3</v>
          </cell>
        </row>
        <row r="285">
          <cell r="N285" t="str">
            <v>Low</v>
          </cell>
          <cell r="U285">
            <v>28</v>
          </cell>
        </row>
        <row r="286">
          <cell r="N286" t="str">
            <v>Low</v>
          </cell>
          <cell r="U286">
            <v>72</v>
          </cell>
        </row>
        <row r="287">
          <cell r="N287" t="str">
            <v>Low</v>
          </cell>
          <cell r="U287">
            <v>202</v>
          </cell>
        </row>
        <row r="288">
          <cell r="N288" t="str">
            <v>Low</v>
          </cell>
          <cell r="U288">
            <v>139</v>
          </cell>
        </row>
        <row r="289">
          <cell r="N289" t="str">
            <v>Low</v>
          </cell>
          <cell r="U289">
            <v>38</v>
          </cell>
        </row>
        <row r="290">
          <cell r="N290" t="str">
            <v>Low</v>
          </cell>
          <cell r="U290">
            <v>37</v>
          </cell>
        </row>
        <row r="291">
          <cell r="N291" t="str">
            <v>Low</v>
          </cell>
          <cell r="U291">
            <v>52</v>
          </cell>
        </row>
        <row r="292">
          <cell r="N292" t="str">
            <v>Low</v>
          </cell>
          <cell r="U292">
            <v>83</v>
          </cell>
        </row>
        <row r="293">
          <cell r="N293" t="str">
            <v>Low</v>
          </cell>
          <cell r="U293">
            <v>42</v>
          </cell>
        </row>
        <row r="294">
          <cell r="N294" t="str">
            <v>Low</v>
          </cell>
          <cell r="U294">
            <v>60</v>
          </cell>
        </row>
        <row r="295">
          <cell r="N295" t="str">
            <v>Low</v>
          </cell>
          <cell r="U295">
            <v>78</v>
          </cell>
        </row>
        <row r="296">
          <cell r="N296" t="str">
            <v>Low</v>
          </cell>
          <cell r="U296">
            <v>162</v>
          </cell>
        </row>
        <row r="297">
          <cell r="N297" t="str">
            <v>Low</v>
          </cell>
          <cell r="U297">
            <v>144</v>
          </cell>
        </row>
        <row r="298">
          <cell r="N298" t="str">
            <v>Low</v>
          </cell>
          <cell r="U298">
            <v>99</v>
          </cell>
        </row>
        <row r="299">
          <cell r="N299" t="str">
            <v>Low</v>
          </cell>
          <cell r="U299">
            <v>64</v>
          </cell>
        </row>
        <row r="300">
          <cell r="N300" t="str">
            <v>Low</v>
          </cell>
          <cell r="U300">
            <v>40</v>
          </cell>
        </row>
        <row r="301">
          <cell r="N301" t="str">
            <v>Low</v>
          </cell>
          <cell r="U301">
            <v>30</v>
          </cell>
        </row>
        <row r="302">
          <cell r="N302" t="str">
            <v>Low</v>
          </cell>
          <cell r="U302">
            <v>15</v>
          </cell>
        </row>
        <row r="303">
          <cell r="N303" t="str">
            <v>Low</v>
          </cell>
          <cell r="U303">
            <v>14</v>
          </cell>
        </row>
        <row r="304">
          <cell r="N304" t="str">
            <v>Low</v>
          </cell>
          <cell r="U304">
            <v>5</v>
          </cell>
        </row>
        <row r="305">
          <cell r="N305" t="str">
            <v>Low</v>
          </cell>
          <cell r="U305">
            <v>1</v>
          </cell>
        </row>
        <row r="306">
          <cell r="N306" t="str">
            <v>Low</v>
          </cell>
          <cell r="U306">
            <v>1</v>
          </cell>
        </row>
        <row r="307">
          <cell r="N307" t="str">
            <v>Low</v>
          </cell>
          <cell r="U307">
            <v>8</v>
          </cell>
        </row>
        <row r="308">
          <cell r="N308" t="str">
            <v>Low</v>
          </cell>
          <cell r="U308">
            <v>17</v>
          </cell>
        </row>
        <row r="309">
          <cell r="N309" t="str">
            <v>Low</v>
          </cell>
          <cell r="U309">
            <v>70</v>
          </cell>
        </row>
        <row r="310">
          <cell r="N310" t="str">
            <v>Low</v>
          </cell>
          <cell r="U310">
            <v>158</v>
          </cell>
        </row>
        <row r="311">
          <cell r="N311" t="str">
            <v>Low</v>
          </cell>
          <cell r="U311">
            <v>117</v>
          </cell>
        </row>
        <row r="312">
          <cell r="N312" t="str">
            <v>Low</v>
          </cell>
          <cell r="U312">
            <v>44</v>
          </cell>
        </row>
        <row r="313">
          <cell r="N313" t="str">
            <v>Low</v>
          </cell>
          <cell r="U313">
            <v>53</v>
          </cell>
        </row>
        <row r="314">
          <cell r="N314" t="str">
            <v>Low</v>
          </cell>
          <cell r="U314">
            <v>61</v>
          </cell>
        </row>
        <row r="315">
          <cell r="N315" t="str">
            <v>Low</v>
          </cell>
          <cell r="U315">
            <v>77</v>
          </cell>
        </row>
        <row r="316">
          <cell r="N316" t="str">
            <v>Low</v>
          </cell>
          <cell r="U316">
            <v>64</v>
          </cell>
        </row>
        <row r="317">
          <cell r="N317" t="str">
            <v>Low</v>
          </cell>
          <cell r="U317">
            <v>68</v>
          </cell>
        </row>
        <row r="318">
          <cell r="N318" t="str">
            <v>Low</v>
          </cell>
          <cell r="U318">
            <v>90</v>
          </cell>
        </row>
        <row r="319">
          <cell r="N319" t="str">
            <v>Low</v>
          </cell>
          <cell r="U319">
            <v>159</v>
          </cell>
        </row>
        <row r="320">
          <cell r="N320" t="str">
            <v>Low</v>
          </cell>
          <cell r="U320">
            <v>139</v>
          </cell>
        </row>
        <row r="321">
          <cell r="N321" t="str">
            <v>Low</v>
          </cell>
          <cell r="U321">
            <v>92</v>
          </cell>
        </row>
        <row r="322">
          <cell r="N322" t="str">
            <v>Low</v>
          </cell>
          <cell r="U322">
            <v>68</v>
          </cell>
        </row>
        <row r="323">
          <cell r="N323" t="str">
            <v>Low</v>
          </cell>
          <cell r="U323">
            <v>52</v>
          </cell>
        </row>
        <row r="324">
          <cell r="N324" t="str">
            <v>Low</v>
          </cell>
          <cell r="U324">
            <v>36</v>
          </cell>
        </row>
        <row r="325">
          <cell r="N325" t="str">
            <v>Low</v>
          </cell>
          <cell r="U325">
            <v>27</v>
          </cell>
        </row>
        <row r="326">
          <cell r="N326" t="str">
            <v>Low</v>
          </cell>
          <cell r="U326">
            <v>28</v>
          </cell>
        </row>
        <row r="327">
          <cell r="N327" t="str">
            <v>Low</v>
          </cell>
          <cell r="U327">
            <v>20</v>
          </cell>
        </row>
        <row r="328">
          <cell r="N328" t="str">
            <v>Low</v>
          </cell>
          <cell r="U328">
            <v>12</v>
          </cell>
        </row>
        <row r="329">
          <cell r="N329" t="str">
            <v>Low</v>
          </cell>
          <cell r="U329">
            <v>8</v>
          </cell>
        </row>
        <row r="330">
          <cell r="N330" t="str">
            <v>Low</v>
          </cell>
          <cell r="U330">
            <v>5</v>
          </cell>
        </row>
        <row r="331">
          <cell r="N331" t="str">
            <v>Low</v>
          </cell>
          <cell r="U331">
            <v>1</v>
          </cell>
        </row>
        <row r="332">
          <cell r="N332" t="str">
            <v>Low</v>
          </cell>
          <cell r="U332">
            <v>3</v>
          </cell>
        </row>
        <row r="333">
          <cell r="N333" t="str">
            <v>Low</v>
          </cell>
          <cell r="U333">
            <v>10</v>
          </cell>
        </row>
        <row r="334">
          <cell r="N334" t="str">
            <v>Low</v>
          </cell>
          <cell r="U334">
            <v>23</v>
          </cell>
        </row>
        <row r="335">
          <cell r="N335" t="str">
            <v>Low</v>
          </cell>
          <cell r="U335">
            <v>33</v>
          </cell>
        </row>
        <row r="336">
          <cell r="N336" t="str">
            <v>Low</v>
          </cell>
          <cell r="U336">
            <v>59</v>
          </cell>
        </row>
        <row r="337">
          <cell r="N337" t="str">
            <v>Low</v>
          </cell>
          <cell r="U337">
            <v>72</v>
          </cell>
        </row>
        <row r="338">
          <cell r="N338" t="str">
            <v>Low</v>
          </cell>
          <cell r="U338">
            <v>89</v>
          </cell>
        </row>
        <row r="339">
          <cell r="N339" t="str">
            <v>Low</v>
          </cell>
          <cell r="U339">
            <v>101</v>
          </cell>
        </row>
        <row r="340">
          <cell r="N340" t="str">
            <v>Low</v>
          </cell>
          <cell r="U340">
            <v>118</v>
          </cell>
        </row>
        <row r="341">
          <cell r="N341" t="str">
            <v>Medium</v>
          </cell>
          <cell r="U341">
            <v>129</v>
          </cell>
        </row>
        <row r="342">
          <cell r="N342" t="str">
            <v>Medium</v>
          </cell>
          <cell r="U342">
            <v>128</v>
          </cell>
        </row>
        <row r="343">
          <cell r="N343" t="str">
            <v>Medium</v>
          </cell>
          <cell r="U343">
            <v>83</v>
          </cell>
        </row>
        <row r="344">
          <cell r="N344" t="str">
            <v>Low</v>
          </cell>
          <cell r="U344">
            <v>84</v>
          </cell>
        </row>
        <row r="345">
          <cell r="N345" t="str">
            <v>Medium</v>
          </cell>
          <cell r="U345">
            <v>74</v>
          </cell>
        </row>
        <row r="346">
          <cell r="N346" t="str">
            <v>Medium</v>
          </cell>
          <cell r="U346">
            <v>41</v>
          </cell>
        </row>
        <row r="347">
          <cell r="N347" t="str">
            <v>Medium</v>
          </cell>
          <cell r="U347">
            <v>57</v>
          </cell>
        </row>
        <row r="348">
          <cell r="N348" t="str">
            <v>Medium</v>
          </cell>
          <cell r="U348">
            <v>26</v>
          </cell>
        </row>
        <row r="349">
          <cell r="N349" t="str">
            <v>Low</v>
          </cell>
          <cell r="U349">
            <v>44</v>
          </cell>
        </row>
        <row r="350">
          <cell r="N350" t="str">
            <v>Medium</v>
          </cell>
          <cell r="U350">
            <v>39</v>
          </cell>
        </row>
        <row r="351">
          <cell r="N351" t="str">
            <v>Low</v>
          </cell>
          <cell r="U351">
            <v>23</v>
          </cell>
        </row>
        <row r="352">
          <cell r="N352" t="str">
            <v>Low</v>
          </cell>
          <cell r="U352">
            <v>16</v>
          </cell>
        </row>
        <row r="353">
          <cell r="N353" t="str">
            <v>Low</v>
          </cell>
          <cell r="U353">
            <v>15</v>
          </cell>
        </row>
        <row r="354">
          <cell r="N354" t="str">
            <v>Low</v>
          </cell>
          <cell r="U354">
            <v>1</v>
          </cell>
        </row>
        <row r="355">
          <cell r="N355" t="str">
            <v>Low</v>
          </cell>
          <cell r="U355">
            <v>2</v>
          </cell>
        </row>
        <row r="356">
          <cell r="N356" t="str">
            <v>Low</v>
          </cell>
          <cell r="U356">
            <v>1</v>
          </cell>
        </row>
        <row r="357">
          <cell r="N357" t="str">
            <v>Low</v>
          </cell>
          <cell r="U357">
            <v>3</v>
          </cell>
        </row>
        <row r="358">
          <cell r="N358" t="str">
            <v>Low</v>
          </cell>
          <cell r="U358">
            <v>18</v>
          </cell>
        </row>
        <row r="359">
          <cell r="N359" t="str">
            <v>Low</v>
          </cell>
          <cell r="U359">
            <v>32</v>
          </cell>
        </row>
        <row r="360">
          <cell r="N360" t="str">
            <v>Low</v>
          </cell>
          <cell r="U360">
            <v>79</v>
          </cell>
        </row>
        <row r="361">
          <cell r="N361" t="str">
            <v>Low</v>
          </cell>
          <cell r="U361">
            <v>93</v>
          </cell>
        </row>
        <row r="362">
          <cell r="N362" t="str">
            <v>Low</v>
          </cell>
          <cell r="U362">
            <v>104</v>
          </cell>
        </row>
        <row r="363">
          <cell r="N363" t="str">
            <v>Low</v>
          </cell>
          <cell r="U363">
            <v>118</v>
          </cell>
        </row>
        <row r="364">
          <cell r="N364" t="str">
            <v>Low</v>
          </cell>
          <cell r="U364">
            <v>91</v>
          </cell>
        </row>
        <row r="365">
          <cell r="N365" t="str">
            <v>Low</v>
          </cell>
          <cell r="U365">
            <v>113</v>
          </cell>
        </row>
        <row r="366">
          <cell r="N366" t="str">
            <v>Low</v>
          </cell>
          <cell r="U366">
            <v>99</v>
          </cell>
        </row>
        <row r="367">
          <cell r="N367" t="str">
            <v>Low</v>
          </cell>
          <cell r="U367">
            <v>105</v>
          </cell>
        </row>
        <row r="368">
          <cell r="N368" t="str">
            <v>Low</v>
          </cell>
          <cell r="U368">
            <v>67</v>
          </cell>
        </row>
        <row r="369">
          <cell r="N369" t="str">
            <v>Low</v>
          </cell>
          <cell r="U369">
            <v>61</v>
          </cell>
        </row>
        <row r="370">
          <cell r="N370" t="str">
            <v>Low</v>
          </cell>
          <cell r="U370">
            <v>57</v>
          </cell>
        </row>
        <row r="371">
          <cell r="N371" t="str">
            <v>Low</v>
          </cell>
          <cell r="U371">
            <v>28</v>
          </cell>
        </row>
        <row r="372">
          <cell r="N372" t="str">
            <v>Low</v>
          </cell>
          <cell r="U372">
            <v>21</v>
          </cell>
        </row>
        <row r="373">
          <cell r="N373" t="str">
            <v>Low</v>
          </cell>
          <cell r="U373">
            <v>18</v>
          </cell>
        </row>
        <row r="374">
          <cell r="N374" t="str">
            <v>Low</v>
          </cell>
          <cell r="U374">
            <v>17</v>
          </cell>
        </row>
        <row r="375">
          <cell r="N375" t="str">
            <v>Low</v>
          </cell>
          <cell r="U375">
            <v>16</v>
          </cell>
        </row>
        <row r="376">
          <cell r="N376" t="str">
            <v>Low</v>
          </cell>
          <cell r="U376">
            <v>8</v>
          </cell>
        </row>
        <row r="377">
          <cell r="N377" t="str">
            <v>Low</v>
          </cell>
          <cell r="U377">
            <v>2</v>
          </cell>
        </row>
        <row r="378">
          <cell r="N378" t="str">
            <v>Low</v>
          </cell>
          <cell r="U378">
            <v>3</v>
          </cell>
        </row>
        <row r="379">
          <cell r="N379" t="str">
            <v>Low</v>
          </cell>
          <cell r="U379">
            <v>1</v>
          </cell>
        </row>
        <row r="380">
          <cell r="N380" t="str">
            <v>Low</v>
          </cell>
          <cell r="U380">
            <v>5</v>
          </cell>
        </row>
        <row r="381">
          <cell r="N381" t="str">
            <v>Low</v>
          </cell>
          <cell r="U381">
            <v>13</v>
          </cell>
        </row>
        <row r="382">
          <cell r="N382" t="str">
            <v>Low</v>
          </cell>
          <cell r="U382">
            <v>33</v>
          </cell>
        </row>
        <row r="383">
          <cell r="N383" t="str">
            <v>Low</v>
          </cell>
          <cell r="U383">
            <v>47</v>
          </cell>
        </row>
        <row r="384">
          <cell r="N384" t="str">
            <v>Low</v>
          </cell>
          <cell r="U384">
            <v>57</v>
          </cell>
        </row>
        <row r="385">
          <cell r="N385" t="str">
            <v>Low</v>
          </cell>
          <cell r="U385">
            <v>64</v>
          </cell>
        </row>
        <row r="386">
          <cell r="N386" t="str">
            <v>Low</v>
          </cell>
          <cell r="U386">
            <v>80</v>
          </cell>
        </row>
        <row r="387">
          <cell r="N387" t="str">
            <v>Low</v>
          </cell>
          <cell r="U387">
            <v>93</v>
          </cell>
        </row>
        <row r="388">
          <cell r="N388" t="str">
            <v>Low</v>
          </cell>
          <cell r="U388">
            <v>86</v>
          </cell>
        </row>
        <row r="389">
          <cell r="N389" t="str">
            <v>Low</v>
          </cell>
          <cell r="U389">
            <v>93</v>
          </cell>
        </row>
        <row r="390">
          <cell r="N390" t="str">
            <v>Low</v>
          </cell>
          <cell r="U390">
            <v>82</v>
          </cell>
        </row>
        <row r="391">
          <cell r="N391" t="str">
            <v>Low</v>
          </cell>
          <cell r="U391">
            <v>71</v>
          </cell>
        </row>
        <row r="392">
          <cell r="N392" t="str">
            <v>Low</v>
          </cell>
          <cell r="U392">
            <v>92</v>
          </cell>
        </row>
        <row r="393">
          <cell r="N393" t="str">
            <v>Low</v>
          </cell>
          <cell r="U393">
            <v>60</v>
          </cell>
        </row>
        <row r="394">
          <cell r="N394" t="str">
            <v>Low</v>
          </cell>
          <cell r="U394">
            <v>33</v>
          </cell>
        </row>
        <row r="395">
          <cell r="N395" t="str">
            <v>Low</v>
          </cell>
          <cell r="U395">
            <v>27</v>
          </cell>
        </row>
        <row r="396">
          <cell r="N396" t="str">
            <v>Low</v>
          </cell>
          <cell r="U396">
            <v>13</v>
          </cell>
        </row>
        <row r="397">
          <cell r="N397" t="str">
            <v>Low</v>
          </cell>
          <cell r="U397">
            <v>4</v>
          </cell>
        </row>
        <row r="398">
          <cell r="N398" t="str">
            <v>Low</v>
          </cell>
          <cell r="U398">
            <v>3</v>
          </cell>
        </row>
        <row r="399">
          <cell r="N399" t="str">
            <v>Low</v>
          </cell>
          <cell r="U399">
            <v>22</v>
          </cell>
        </row>
        <row r="400">
          <cell r="N400" t="str">
            <v>Low</v>
          </cell>
          <cell r="U400">
            <v>28</v>
          </cell>
        </row>
        <row r="401">
          <cell r="N401" t="str">
            <v>Low</v>
          </cell>
          <cell r="U401">
            <v>35</v>
          </cell>
        </row>
        <row r="402">
          <cell r="N402" t="str">
            <v>Low</v>
          </cell>
          <cell r="U402">
            <v>61</v>
          </cell>
        </row>
        <row r="403">
          <cell r="N403" t="str">
            <v>Low</v>
          </cell>
          <cell r="U403">
            <v>125</v>
          </cell>
        </row>
        <row r="404">
          <cell r="N404" t="str">
            <v>Low</v>
          </cell>
          <cell r="U404">
            <v>133</v>
          </cell>
        </row>
        <row r="405">
          <cell r="N405" t="str">
            <v>Low</v>
          </cell>
          <cell r="U405">
            <v>99</v>
          </cell>
        </row>
        <row r="406">
          <cell r="N406" t="str">
            <v>Low</v>
          </cell>
          <cell r="U406">
            <v>83</v>
          </cell>
        </row>
        <row r="407">
          <cell r="N407" t="str">
            <v>Low</v>
          </cell>
          <cell r="U407">
            <v>41</v>
          </cell>
        </row>
        <row r="408">
          <cell r="N408" t="str">
            <v>Low</v>
          </cell>
          <cell r="U408">
            <v>33</v>
          </cell>
        </row>
        <row r="409">
          <cell r="N409" t="str">
            <v>Low</v>
          </cell>
          <cell r="U409">
            <v>20</v>
          </cell>
        </row>
        <row r="410">
          <cell r="N410" t="str">
            <v>Low</v>
          </cell>
          <cell r="U410">
            <v>3</v>
          </cell>
        </row>
        <row r="411">
          <cell r="N411" t="str">
            <v>Low</v>
          </cell>
          <cell r="U411">
            <v>7</v>
          </cell>
        </row>
        <row r="412">
          <cell r="N412" t="str">
            <v>Low</v>
          </cell>
          <cell r="U412">
            <v>3</v>
          </cell>
        </row>
        <row r="413">
          <cell r="N413" t="str">
            <v>Low</v>
          </cell>
          <cell r="U413">
            <v>2</v>
          </cell>
        </row>
        <row r="414">
          <cell r="N414" t="str">
            <v>Low</v>
          </cell>
          <cell r="U414">
            <v>7</v>
          </cell>
        </row>
        <row r="415">
          <cell r="N415" t="str">
            <v>Low</v>
          </cell>
          <cell r="U415">
            <v>32</v>
          </cell>
        </row>
        <row r="416">
          <cell r="N416" t="str">
            <v>Low</v>
          </cell>
          <cell r="U416">
            <v>90</v>
          </cell>
        </row>
        <row r="417">
          <cell r="N417" t="str">
            <v>Low</v>
          </cell>
          <cell r="U417">
            <v>197</v>
          </cell>
        </row>
        <row r="418">
          <cell r="N418" t="str">
            <v>Low</v>
          </cell>
          <cell r="U418">
            <v>109</v>
          </cell>
        </row>
        <row r="419">
          <cell r="N419" t="str">
            <v>Low</v>
          </cell>
          <cell r="U419">
            <v>47</v>
          </cell>
        </row>
        <row r="420">
          <cell r="N420" t="str">
            <v>Medium</v>
          </cell>
          <cell r="U420">
            <v>52</v>
          </cell>
        </row>
        <row r="421">
          <cell r="N421" t="str">
            <v>Medium</v>
          </cell>
          <cell r="U421">
            <v>70</v>
          </cell>
        </row>
        <row r="422">
          <cell r="N422" t="str">
            <v>Medium</v>
          </cell>
          <cell r="U422">
            <v>78</v>
          </cell>
        </row>
        <row r="423">
          <cell r="N423" t="str">
            <v>Medium</v>
          </cell>
          <cell r="U423">
            <v>75</v>
          </cell>
        </row>
        <row r="424">
          <cell r="N424" t="str">
            <v>Medium</v>
          </cell>
          <cell r="U424">
            <v>82</v>
          </cell>
        </row>
        <row r="425">
          <cell r="N425" t="str">
            <v>Medium</v>
          </cell>
          <cell r="U425">
            <v>104</v>
          </cell>
        </row>
        <row r="426">
          <cell r="N426" t="str">
            <v>Medium</v>
          </cell>
          <cell r="U426">
            <v>197</v>
          </cell>
        </row>
        <row r="427">
          <cell r="N427" t="str">
            <v>Medium</v>
          </cell>
          <cell r="U427">
            <v>161</v>
          </cell>
        </row>
        <row r="428">
          <cell r="N428" t="str">
            <v>Low</v>
          </cell>
          <cell r="U428">
            <v>112</v>
          </cell>
        </row>
        <row r="429">
          <cell r="N429" t="str">
            <v>Medium</v>
          </cell>
          <cell r="U429">
            <v>76</v>
          </cell>
        </row>
        <row r="430">
          <cell r="N430" t="str">
            <v>Low</v>
          </cell>
          <cell r="U430">
            <v>59</v>
          </cell>
        </row>
        <row r="431">
          <cell r="N431" t="str">
            <v>Medium</v>
          </cell>
          <cell r="U431">
            <v>59</v>
          </cell>
        </row>
        <row r="432">
          <cell r="N432" t="str">
            <v>Low</v>
          </cell>
          <cell r="U432">
            <v>28</v>
          </cell>
        </row>
        <row r="433">
          <cell r="N433" t="str">
            <v>Low</v>
          </cell>
          <cell r="U433">
            <v>13</v>
          </cell>
        </row>
        <row r="434">
          <cell r="N434" t="str">
            <v>Low</v>
          </cell>
          <cell r="U434">
            <v>5</v>
          </cell>
        </row>
        <row r="435">
          <cell r="N435" t="str">
            <v>Low</v>
          </cell>
          <cell r="U435">
            <v>2</v>
          </cell>
        </row>
        <row r="436">
          <cell r="N436" t="str">
            <v>Low</v>
          </cell>
          <cell r="U436">
            <v>1</v>
          </cell>
        </row>
        <row r="437">
          <cell r="N437" t="str">
            <v>Low</v>
          </cell>
          <cell r="U437">
            <v>1</v>
          </cell>
        </row>
        <row r="438">
          <cell r="N438" t="str">
            <v>Low</v>
          </cell>
          <cell r="U438">
            <v>6</v>
          </cell>
        </row>
        <row r="439">
          <cell r="N439" t="str">
            <v>Low</v>
          </cell>
          <cell r="U439">
            <v>35</v>
          </cell>
        </row>
        <row r="440">
          <cell r="N440" t="str">
            <v>Low</v>
          </cell>
          <cell r="U440">
            <v>101</v>
          </cell>
        </row>
        <row r="441">
          <cell r="N441" t="str">
            <v>Low</v>
          </cell>
          <cell r="U441">
            <v>249</v>
          </cell>
        </row>
        <row r="442">
          <cell r="N442" t="str">
            <v>Low</v>
          </cell>
          <cell r="U442">
            <v>143</v>
          </cell>
        </row>
        <row r="443">
          <cell r="N443" t="str">
            <v>Low</v>
          </cell>
          <cell r="U443">
            <v>57</v>
          </cell>
        </row>
        <row r="444">
          <cell r="N444" t="str">
            <v>Low</v>
          </cell>
          <cell r="U444">
            <v>68</v>
          </cell>
        </row>
        <row r="445">
          <cell r="N445" t="str">
            <v>Medium</v>
          </cell>
          <cell r="U445">
            <v>84</v>
          </cell>
        </row>
        <row r="446">
          <cell r="N446" t="str">
            <v>Low</v>
          </cell>
          <cell r="U446">
            <v>98</v>
          </cell>
        </row>
        <row r="447">
          <cell r="N447" t="str">
            <v>Medium</v>
          </cell>
          <cell r="U447">
            <v>81</v>
          </cell>
        </row>
        <row r="448">
          <cell r="N448" t="str">
            <v>Medium</v>
          </cell>
          <cell r="U448">
            <v>70</v>
          </cell>
        </row>
        <row r="449">
          <cell r="N449" t="str">
            <v>Medium</v>
          </cell>
          <cell r="U449">
            <v>91</v>
          </cell>
        </row>
        <row r="450">
          <cell r="N450" t="str">
            <v>Medium</v>
          </cell>
          <cell r="U450">
            <v>215</v>
          </cell>
        </row>
        <row r="451">
          <cell r="N451" t="str">
            <v>Low</v>
          </cell>
          <cell r="U451">
            <v>185</v>
          </cell>
        </row>
        <row r="452">
          <cell r="N452" t="str">
            <v>Low</v>
          </cell>
          <cell r="U452">
            <v>152</v>
          </cell>
        </row>
        <row r="453">
          <cell r="N453" t="str">
            <v>Low</v>
          </cell>
          <cell r="U453">
            <v>126</v>
          </cell>
        </row>
        <row r="454">
          <cell r="N454" t="str">
            <v>Low</v>
          </cell>
          <cell r="U454">
            <v>57</v>
          </cell>
        </row>
        <row r="455">
          <cell r="N455" t="str">
            <v>Low</v>
          </cell>
          <cell r="U455">
            <v>56</v>
          </cell>
        </row>
        <row r="456">
          <cell r="N456" t="str">
            <v>Low</v>
          </cell>
          <cell r="U456">
            <v>31</v>
          </cell>
        </row>
        <row r="457">
          <cell r="N457" t="str">
            <v>Low</v>
          </cell>
          <cell r="U457">
            <v>21</v>
          </cell>
        </row>
        <row r="458">
          <cell r="N458" t="str">
            <v>Low</v>
          </cell>
          <cell r="U458">
            <v>6</v>
          </cell>
        </row>
        <row r="459">
          <cell r="N459" t="str">
            <v>Low</v>
          </cell>
          <cell r="U459">
            <v>2</v>
          </cell>
        </row>
        <row r="460">
          <cell r="N460" t="str">
            <v>Low</v>
          </cell>
          <cell r="U460">
            <v>1</v>
          </cell>
        </row>
        <row r="461">
          <cell r="N461" t="str">
            <v>Low</v>
          </cell>
          <cell r="U461">
            <v>1</v>
          </cell>
        </row>
        <row r="462">
          <cell r="N462" t="str">
            <v>Low</v>
          </cell>
          <cell r="U462">
            <v>5</v>
          </cell>
        </row>
        <row r="463">
          <cell r="N463" t="str">
            <v>Low</v>
          </cell>
          <cell r="U463">
            <v>27</v>
          </cell>
        </row>
        <row r="464">
          <cell r="N464" t="str">
            <v>Low</v>
          </cell>
          <cell r="U464">
            <v>68</v>
          </cell>
        </row>
        <row r="465">
          <cell r="N465" t="str">
            <v>Low</v>
          </cell>
          <cell r="U465">
            <v>217</v>
          </cell>
        </row>
        <row r="466">
          <cell r="N466" t="str">
            <v>Low</v>
          </cell>
          <cell r="U466">
            <v>166</v>
          </cell>
        </row>
        <row r="467">
          <cell r="N467" t="str">
            <v>Low</v>
          </cell>
          <cell r="U467">
            <v>63</v>
          </cell>
        </row>
        <row r="468">
          <cell r="N468" t="str">
            <v>Low</v>
          </cell>
          <cell r="U468">
            <v>59</v>
          </cell>
        </row>
        <row r="469">
          <cell r="N469" t="str">
            <v>Low</v>
          </cell>
          <cell r="U469">
            <v>78</v>
          </cell>
        </row>
        <row r="470">
          <cell r="N470" t="str">
            <v>Low</v>
          </cell>
          <cell r="U470">
            <v>73</v>
          </cell>
        </row>
        <row r="471">
          <cell r="N471" t="str">
            <v>Low</v>
          </cell>
          <cell r="U471">
            <v>62</v>
          </cell>
        </row>
        <row r="472">
          <cell r="N472" t="str">
            <v>Low</v>
          </cell>
          <cell r="U472">
            <v>65</v>
          </cell>
        </row>
        <row r="473">
          <cell r="N473" t="str">
            <v>Low</v>
          </cell>
          <cell r="U473">
            <v>97</v>
          </cell>
        </row>
        <row r="474">
          <cell r="N474" t="str">
            <v>Low</v>
          </cell>
          <cell r="U474">
            <v>161</v>
          </cell>
        </row>
        <row r="475">
          <cell r="N475" t="str">
            <v>Low</v>
          </cell>
          <cell r="U475">
            <v>120</v>
          </cell>
        </row>
        <row r="476">
          <cell r="N476" t="str">
            <v>Low</v>
          </cell>
          <cell r="U476">
            <v>96</v>
          </cell>
        </row>
        <row r="477">
          <cell r="N477" t="str">
            <v>Low</v>
          </cell>
          <cell r="U477">
            <v>53</v>
          </cell>
        </row>
        <row r="478">
          <cell r="N478" t="str">
            <v>Low</v>
          </cell>
          <cell r="U478">
            <v>41</v>
          </cell>
        </row>
        <row r="479">
          <cell r="N479" t="str">
            <v>Low</v>
          </cell>
          <cell r="U479">
            <v>34</v>
          </cell>
        </row>
        <row r="480">
          <cell r="N480" t="str">
            <v>Low</v>
          </cell>
          <cell r="U480">
            <v>27</v>
          </cell>
        </row>
        <row r="481">
          <cell r="N481" t="str">
            <v>Low</v>
          </cell>
          <cell r="U481">
            <v>13</v>
          </cell>
        </row>
        <row r="482">
          <cell r="N482" t="str">
            <v>Low</v>
          </cell>
          <cell r="U482">
            <v>12</v>
          </cell>
        </row>
        <row r="483">
          <cell r="N483" t="str">
            <v>Low</v>
          </cell>
          <cell r="U483">
            <v>11</v>
          </cell>
        </row>
        <row r="484">
          <cell r="N484" t="str">
            <v>Low</v>
          </cell>
          <cell r="U484">
            <v>7</v>
          </cell>
        </row>
        <row r="485">
          <cell r="N485" t="str">
            <v>Low</v>
          </cell>
          <cell r="U485">
            <v>3</v>
          </cell>
        </row>
        <row r="486">
          <cell r="N486" t="str">
            <v>Low</v>
          </cell>
          <cell r="U486">
            <v>2</v>
          </cell>
        </row>
        <row r="487">
          <cell r="N487" t="str">
            <v>Low</v>
          </cell>
          <cell r="U487">
            <v>8</v>
          </cell>
        </row>
        <row r="488">
          <cell r="N488" t="str">
            <v>Low</v>
          </cell>
          <cell r="U488">
            <v>27</v>
          </cell>
        </row>
        <row r="489">
          <cell r="N489" t="str">
            <v>Low</v>
          </cell>
          <cell r="U489">
            <v>40</v>
          </cell>
        </row>
        <row r="490">
          <cell r="N490" t="str">
            <v>Low</v>
          </cell>
          <cell r="U490">
            <v>53</v>
          </cell>
        </row>
        <row r="491">
          <cell r="N491" t="str">
            <v>Low</v>
          </cell>
          <cell r="U491">
            <v>63</v>
          </cell>
        </row>
        <row r="492">
          <cell r="N492" t="str">
            <v>Low</v>
          </cell>
          <cell r="U492">
            <v>70</v>
          </cell>
        </row>
        <row r="493">
          <cell r="N493" t="str">
            <v>Low</v>
          </cell>
          <cell r="U493">
            <v>84</v>
          </cell>
        </row>
        <row r="494">
          <cell r="N494" t="str">
            <v>Low</v>
          </cell>
          <cell r="U494">
            <v>75</v>
          </cell>
        </row>
        <row r="495">
          <cell r="N495" t="str">
            <v>Low</v>
          </cell>
          <cell r="U495">
            <v>103</v>
          </cell>
        </row>
        <row r="496">
          <cell r="N496" t="str">
            <v>Low</v>
          </cell>
          <cell r="U496">
            <v>83</v>
          </cell>
        </row>
        <row r="497">
          <cell r="N497" t="str">
            <v>Low</v>
          </cell>
          <cell r="U497">
            <v>67</v>
          </cell>
        </row>
        <row r="498">
          <cell r="N498" t="str">
            <v>Low</v>
          </cell>
          <cell r="U498">
            <v>54</v>
          </cell>
        </row>
        <row r="499">
          <cell r="N499" t="str">
            <v>Low</v>
          </cell>
          <cell r="U499">
            <v>59</v>
          </cell>
        </row>
        <row r="500">
          <cell r="N500" t="str">
            <v>Low</v>
          </cell>
          <cell r="U500">
            <v>45</v>
          </cell>
        </row>
        <row r="501">
          <cell r="N501" t="str">
            <v>Low</v>
          </cell>
          <cell r="U501">
            <v>39</v>
          </cell>
        </row>
        <row r="502">
          <cell r="N502" t="str">
            <v>Low</v>
          </cell>
          <cell r="U502">
            <v>30</v>
          </cell>
        </row>
        <row r="503">
          <cell r="N503" t="str">
            <v>Low</v>
          </cell>
          <cell r="U503">
            <v>33</v>
          </cell>
        </row>
        <row r="504">
          <cell r="N504" t="str">
            <v>Low</v>
          </cell>
          <cell r="U504">
            <v>22</v>
          </cell>
        </row>
        <row r="505">
          <cell r="N505" t="str">
            <v>Low</v>
          </cell>
          <cell r="U505">
            <v>13</v>
          </cell>
        </row>
        <row r="506">
          <cell r="N506" t="str">
            <v>Low</v>
          </cell>
          <cell r="U506">
            <v>18</v>
          </cell>
        </row>
        <row r="507">
          <cell r="N507" t="str">
            <v>Low</v>
          </cell>
          <cell r="U507">
            <v>5</v>
          </cell>
        </row>
        <row r="508">
          <cell r="N508" t="str">
            <v>Low</v>
          </cell>
          <cell r="U508">
            <v>3</v>
          </cell>
        </row>
        <row r="509">
          <cell r="N509" t="str">
            <v>Low</v>
          </cell>
          <cell r="U509">
            <v>1</v>
          </cell>
        </row>
        <row r="510">
          <cell r="N510" t="str">
            <v>Low</v>
          </cell>
          <cell r="U510">
            <v>2</v>
          </cell>
        </row>
        <row r="511">
          <cell r="N511" t="str">
            <v>Low</v>
          </cell>
          <cell r="U511">
            <v>19</v>
          </cell>
        </row>
        <row r="512">
          <cell r="N512" t="str">
            <v>Low</v>
          </cell>
          <cell r="U512">
            <v>28</v>
          </cell>
        </row>
        <row r="513">
          <cell r="N513" t="str">
            <v>Low</v>
          </cell>
          <cell r="U513">
            <v>58</v>
          </cell>
        </row>
        <row r="514">
          <cell r="N514" t="str">
            <v>Low</v>
          </cell>
          <cell r="U514">
            <v>99</v>
          </cell>
        </row>
        <row r="515">
          <cell r="N515" t="str">
            <v>Low</v>
          </cell>
          <cell r="U515">
            <v>116</v>
          </cell>
        </row>
        <row r="516">
          <cell r="N516" t="str">
            <v>Low</v>
          </cell>
          <cell r="U516">
            <v>87</v>
          </cell>
        </row>
        <row r="517">
          <cell r="N517" t="str">
            <v>Low</v>
          </cell>
          <cell r="U517">
            <v>110</v>
          </cell>
        </row>
        <row r="518">
          <cell r="N518" t="str">
            <v>Low</v>
          </cell>
          <cell r="U518">
            <v>77</v>
          </cell>
        </row>
        <row r="519">
          <cell r="N519" t="str">
            <v>Low</v>
          </cell>
          <cell r="U519">
            <v>65</v>
          </cell>
        </row>
        <row r="520">
          <cell r="N520" t="str">
            <v>Low</v>
          </cell>
          <cell r="U520">
            <v>55</v>
          </cell>
        </row>
        <row r="521">
          <cell r="N521" t="str">
            <v>Low</v>
          </cell>
          <cell r="U521">
            <v>49</v>
          </cell>
        </row>
        <row r="522">
          <cell r="N522" t="str">
            <v>Low</v>
          </cell>
          <cell r="U522">
            <v>50</v>
          </cell>
        </row>
        <row r="523">
          <cell r="N523" t="str">
            <v>Low</v>
          </cell>
          <cell r="U523">
            <v>35</v>
          </cell>
        </row>
        <row r="524">
          <cell r="N524" t="str">
            <v>Low</v>
          </cell>
          <cell r="U524">
            <v>25</v>
          </cell>
        </row>
        <row r="525">
          <cell r="N525" t="str">
            <v>Low</v>
          </cell>
          <cell r="U525">
            <v>28</v>
          </cell>
        </row>
        <row r="526">
          <cell r="N526" t="str">
            <v>Low</v>
          </cell>
          <cell r="U526">
            <v>21</v>
          </cell>
        </row>
        <row r="527">
          <cell r="N527" t="str">
            <v>Low</v>
          </cell>
          <cell r="U527">
            <v>7</v>
          </cell>
        </row>
        <row r="528">
          <cell r="N528" t="str">
            <v>Low</v>
          </cell>
          <cell r="U528">
            <v>1</v>
          </cell>
        </row>
        <row r="529">
          <cell r="N529" t="str">
            <v>Low</v>
          </cell>
          <cell r="U529">
            <v>1</v>
          </cell>
        </row>
        <row r="530">
          <cell r="N530" t="str">
            <v>Low</v>
          </cell>
          <cell r="U530">
            <v>1</v>
          </cell>
        </row>
        <row r="531">
          <cell r="N531" t="str">
            <v>Low</v>
          </cell>
          <cell r="U531">
            <v>5</v>
          </cell>
        </row>
        <row r="532">
          <cell r="N532" t="str">
            <v>Low</v>
          </cell>
          <cell r="U532">
            <v>15</v>
          </cell>
        </row>
        <row r="533">
          <cell r="N533" t="str">
            <v>Low</v>
          </cell>
          <cell r="U533">
            <v>84</v>
          </cell>
        </row>
        <row r="534">
          <cell r="N534" t="str">
            <v>Low</v>
          </cell>
          <cell r="U534">
            <v>177</v>
          </cell>
        </row>
        <row r="535">
          <cell r="N535" t="str">
            <v>Low</v>
          </cell>
          <cell r="U535">
            <v>102</v>
          </cell>
        </row>
        <row r="536">
          <cell r="N536" t="str">
            <v>Low</v>
          </cell>
          <cell r="U536">
            <v>40</v>
          </cell>
        </row>
        <row r="537">
          <cell r="N537" t="str">
            <v>Low</v>
          </cell>
          <cell r="U537">
            <v>46</v>
          </cell>
        </row>
        <row r="538">
          <cell r="N538" t="str">
            <v>Low</v>
          </cell>
          <cell r="U538">
            <v>63</v>
          </cell>
        </row>
        <row r="539">
          <cell r="N539" t="str">
            <v>Low</v>
          </cell>
          <cell r="U539">
            <v>60</v>
          </cell>
        </row>
        <row r="540">
          <cell r="N540" t="str">
            <v>Low</v>
          </cell>
          <cell r="U540">
            <v>45</v>
          </cell>
        </row>
        <row r="541">
          <cell r="N541" t="str">
            <v>Low</v>
          </cell>
          <cell r="U541">
            <v>57</v>
          </cell>
        </row>
        <row r="542">
          <cell r="N542" t="str">
            <v>Low</v>
          </cell>
          <cell r="U542">
            <v>70</v>
          </cell>
        </row>
        <row r="543">
          <cell r="N543" t="str">
            <v>Low</v>
          </cell>
          <cell r="U543">
            <v>184</v>
          </cell>
        </row>
        <row r="544">
          <cell r="N544" t="str">
            <v>Low</v>
          </cell>
          <cell r="U544">
            <v>153</v>
          </cell>
        </row>
        <row r="545">
          <cell r="N545" t="str">
            <v>Low</v>
          </cell>
          <cell r="U545">
            <v>106</v>
          </cell>
        </row>
        <row r="546">
          <cell r="N546" t="str">
            <v>Low</v>
          </cell>
          <cell r="U546">
            <v>81</v>
          </cell>
        </row>
        <row r="547">
          <cell r="N547" t="str">
            <v>Low</v>
          </cell>
          <cell r="U547">
            <v>59</v>
          </cell>
        </row>
        <row r="548">
          <cell r="N548" t="str">
            <v>Low</v>
          </cell>
          <cell r="U548">
            <v>35</v>
          </cell>
        </row>
        <row r="549">
          <cell r="N549" t="str">
            <v>Low</v>
          </cell>
          <cell r="U549">
            <v>24</v>
          </cell>
        </row>
        <row r="550">
          <cell r="N550" t="str">
            <v>Low</v>
          </cell>
          <cell r="U550">
            <v>9</v>
          </cell>
        </row>
        <row r="551">
          <cell r="N551" t="str">
            <v>Low</v>
          </cell>
          <cell r="U551">
            <v>5</v>
          </cell>
        </row>
        <row r="552">
          <cell r="N552" t="str">
            <v>Low</v>
          </cell>
          <cell r="U552">
            <v>2</v>
          </cell>
        </row>
        <row r="553">
          <cell r="N553" t="str">
            <v>Low</v>
          </cell>
          <cell r="U553">
            <v>1</v>
          </cell>
        </row>
        <row r="554">
          <cell r="N554" t="str">
            <v>Low</v>
          </cell>
          <cell r="U554">
            <v>9</v>
          </cell>
        </row>
        <row r="555">
          <cell r="N555" t="str">
            <v>Low</v>
          </cell>
          <cell r="U555">
            <v>36</v>
          </cell>
        </row>
        <row r="556">
          <cell r="N556" t="str">
            <v>Low</v>
          </cell>
          <cell r="U556">
            <v>108</v>
          </cell>
        </row>
        <row r="557">
          <cell r="N557" t="str">
            <v>Low</v>
          </cell>
          <cell r="U557">
            <v>238</v>
          </cell>
        </row>
        <row r="558">
          <cell r="N558" t="str">
            <v>Low</v>
          </cell>
          <cell r="U558">
            <v>144</v>
          </cell>
        </row>
        <row r="559">
          <cell r="N559" t="str">
            <v>Low</v>
          </cell>
          <cell r="U559">
            <v>55</v>
          </cell>
        </row>
        <row r="560">
          <cell r="N560" t="str">
            <v>Low</v>
          </cell>
          <cell r="U560">
            <v>61</v>
          </cell>
        </row>
        <row r="561">
          <cell r="N561" t="str">
            <v>Low</v>
          </cell>
          <cell r="U561">
            <v>106</v>
          </cell>
        </row>
        <row r="562">
          <cell r="N562" t="str">
            <v>Low</v>
          </cell>
          <cell r="U562">
            <v>93</v>
          </cell>
        </row>
        <row r="563">
          <cell r="N563" t="str">
            <v>Medium</v>
          </cell>
          <cell r="U563">
            <v>68</v>
          </cell>
        </row>
        <row r="564">
          <cell r="N564" t="str">
            <v>Medium</v>
          </cell>
          <cell r="U564">
            <v>84</v>
          </cell>
        </row>
        <row r="565">
          <cell r="N565" t="str">
            <v>Medium</v>
          </cell>
          <cell r="U565">
            <v>116</v>
          </cell>
        </row>
        <row r="566">
          <cell r="N566" t="str">
            <v>Medium</v>
          </cell>
          <cell r="U566">
            <v>222</v>
          </cell>
        </row>
        <row r="567">
          <cell r="N567" t="str">
            <v>Medium</v>
          </cell>
          <cell r="U567">
            <v>225</v>
          </cell>
        </row>
        <row r="568">
          <cell r="N568" t="str">
            <v>Low</v>
          </cell>
          <cell r="U568">
            <v>146</v>
          </cell>
        </row>
        <row r="569">
          <cell r="N569" t="str">
            <v>Low</v>
          </cell>
          <cell r="U569">
            <v>119</v>
          </cell>
        </row>
        <row r="570">
          <cell r="N570" t="str">
            <v>Low</v>
          </cell>
          <cell r="U570">
            <v>45</v>
          </cell>
        </row>
        <row r="571">
          <cell r="N571" t="str">
            <v>Low</v>
          </cell>
          <cell r="U571">
            <v>53</v>
          </cell>
        </row>
        <row r="572">
          <cell r="N572" t="str">
            <v>Low</v>
          </cell>
          <cell r="U572">
            <v>40</v>
          </cell>
        </row>
        <row r="573">
          <cell r="N573" t="str">
            <v>Low</v>
          </cell>
          <cell r="U573">
            <v>17</v>
          </cell>
        </row>
        <row r="574">
          <cell r="N574" t="str">
            <v>Low</v>
          </cell>
          <cell r="U574">
            <v>5</v>
          </cell>
        </row>
        <row r="575">
          <cell r="N575" t="str">
            <v>Low</v>
          </cell>
          <cell r="U575">
            <v>10</v>
          </cell>
        </row>
        <row r="576">
          <cell r="N576" t="str">
            <v>Low</v>
          </cell>
          <cell r="U576">
            <v>1</v>
          </cell>
        </row>
        <row r="577">
          <cell r="N577" t="str">
            <v>Low</v>
          </cell>
          <cell r="U577">
            <v>8</v>
          </cell>
        </row>
        <row r="578">
          <cell r="N578" t="str">
            <v>Low</v>
          </cell>
          <cell r="U578">
            <v>30</v>
          </cell>
        </row>
        <row r="579">
          <cell r="N579" t="str">
            <v>Low</v>
          </cell>
          <cell r="U579">
            <v>72</v>
          </cell>
        </row>
        <row r="580">
          <cell r="N580" t="str">
            <v>Low</v>
          </cell>
          <cell r="U580">
            <v>58</v>
          </cell>
        </row>
        <row r="581">
          <cell r="N581" t="str">
            <v>Low</v>
          </cell>
          <cell r="U581">
            <v>28</v>
          </cell>
        </row>
        <row r="582">
          <cell r="N582" t="str">
            <v>Low</v>
          </cell>
          <cell r="U582">
            <v>41</v>
          </cell>
        </row>
        <row r="583">
          <cell r="N583" t="str">
            <v>Low</v>
          </cell>
          <cell r="U583">
            <v>48</v>
          </cell>
        </row>
        <row r="584">
          <cell r="N584" t="str">
            <v>Low</v>
          </cell>
          <cell r="U584">
            <v>47</v>
          </cell>
        </row>
        <row r="585">
          <cell r="N585" t="str">
            <v>Low</v>
          </cell>
          <cell r="U585">
            <v>36</v>
          </cell>
        </row>
        <row r="586">
          <cell r="N586" t="str">
            <v>Low</v>
          </cell>
          <cell r="U586">
            <v>43</v>
          </cell>
        </row>
        <row r="587">
          <cell r="N587" t="str">
            <v>Low</v>
          </cell>
          <cell r="U587">
            <v>36</v>
          </cell>
        </row>
        <row r="588">
          <cell r="N588" t="str">
            <v>Low</v>
          </cell>
          <cell r="U588">
            <v>26</v>
          </cell>
        </row>
        <row r="589">
          <cell r="N589" t="str">
            <v>Low</v>
          </cell>
          <cell r="U589">
            <v>24</v>
          </cell>
        </row>
        <row r="590">
          <cell r="N590" t="str">
            <v>Low</v>
          </cell>
          <cell r="U590">
            <v>84</v>
          </cell>
        </row>
        <row r="591">
          <cell r="N591" t="str">
            <v>Low</v>
          </cell>
          <cell r="U591">
            <v>104</v>
          </cell>
        </row>
        <row r="592">
          <cell r="N592" t="str">
            <v>Low</v>
          </cell>
          <cell r="U592">
            <v>79</v>
          </cell>
        </row>
        <row r="593">
          <cell r="N593" t="str">
            <v>Low</v>
          </cell>
          <cell r="U593">
            <v>59</v>
          </cell>
        </row>
        <row r="594">
          <cell r="N594" t="str">
            <v>Low</v>
          </cell>
          <cell r="U594">
            <v>38</v>
          </cell>
        </row>
        <row r="595">
          <cell r="N595" t="str">
            <v>Low</v>
          </cell>
          <cell r="U595">
            <v>27</v>
          </cell>
        </row>
        <row r="596">
          <cell r="N596" t="str">
            <v>Low</v>
          </cell>
          <cell r="U596">
            <v>16</v>
          </cell>
        </row>
        <row r="597">
          <cell r="N597" t="str">
            <v>Low</v>
          </cell>
          <cell r="U597">
            <v>9</v>
          </cell>
        </row>
        <row r="598">
          <cell r="N598" t="str">
            <v>Low</v>
          </cell>
          <cell r="U598">
            <v>3</v>
          </cell>
        </row>
        <row r="599">
          <cell r="N599" t="str">
            <v>Low</v>
          </cell>
          <cell r="U599">
            <v>2</v>
          </cell>
        </row>
        <row r="600">
          <cell r="N600" t="str">
            <v>Low</v>
          </cell>
          <cell r="U600">
            <v>1</v>
          </cell>
        </row>
        <row r="601">
          <cell r="N601" t="str">
            <v>Low</v>
          </cell>
          <cell r="U601">
            <v>4</v>
          </cell>
        </row>
        <row r="602">
          <cell r="N602" t="str">
            <v>Low</v>
          </cell>
          <cell r="U602">
            <v>16</v>
          </cell>
        </row>
        <row r="603">
          <cell r="N603" t="str">
            <v>Low</v>
          </cell>
          <cell r="U603">
            <v>60</v>
          </cell>
        </row>
        <row r="604">
          <cell r="N604" t="str">
            <v>Low</v>
          </cell>
          <cell r="U604">
            <v>157</v>
          </cell>
        </row>
        <row r="605">
          <cell r="N605" t="str">
            <v>Low</v>
          </cell>
          <cell r="U605">
            <v>101</v>
          </cell>
        </row>
        <row r="606">
          <cell r="N606" t="str">
            <v>Low</v>
          </cell>
          <cell r="U606">
            <v>49</v>
          </cell>
        </row>
        <row r="607">
          <cell r="N607" t="str">
            <v>Low</v>
          </cell>
          <cell r="U607">
            <v>30</v>
          </cell>
        </row>
        <row r="608">
          <cell r="N608" t="str">
            <v>Low</v>
          </cell>
          <cell r="U608">
            <v>29</v>
          </cell>
        </row>
        <row r="609">
          <cell r="N609" t="str">
            <v>Low</v>
          </cell>
          <cell r="U609">
            <v>31</v>
          </cell>
        </row>
        <row r="610">
          <cell r="N610" t="str">
            <v>Low</v>
          </cell>
          <cell r="U610">
            <v>38</v>
          </cell>
        </row>
        <row r="611">
          <cell r="N611" t="str">
            <v>Low</v>
          </cell>
          <cell r="U611">
            <v>41</v>
          </cell>
        </row>
        <row r="612">
          <cell r="N612" t="str">
            <v>Low</v>
          </cell>
          <cell r="U612">
            <v>80</v>
          </cell>
        </row>
        <row r="613">
          <cell r="N613" t="str">
            <v>Low</v>
          </cell>
          <cell r="U613">
            <v>149</v>
          </cell>
        </row>
        <row r="614">
          <cell r="N614" t="str">
            <v>Low</v>
          </cell>
          <cell r="U614">
            <v>109</v>
          </cell>
        </row>
        <row r="615">
          <cell r="N615" t="str">
            <v>Low</v>
          </cell>
          <cell r="U615">
            <v>89</v>
          </cell>
        </row>
        <row r="616">
          <cell r="N616" t="str">
            <v>Low</v>
          </cell>
          <cell r="U616">
            <v>62</v>
          </cell>
        </row>
        <row r="617">
          <cell r="N617" t="str">
            <v>Low</v>
          </cell>
          <cell r="U617">
            <v>58</v>
          </cell>
        </row>
        <row r="618">
          <cell r="N618" t="str">
            <v>Low</v>
          </cell>
          <cell r="U618">
            <v>26</v>
          </cell>
        </row>
        <row r="619">
          <cell r="N619" t="str">
            <v>Low</v>
          </cell>
          <cell r="U619">
            <v>23</v>
          </cell>
        </row>
        <row r="620">
          <cell r="N620" t="str">
            <v>Low</v>
          </cell>
          <cell r="U620">
            <v>28</v>
          </cell>
        </row>
        <row r="621">
          <cell r="N621" t="str">
            <v>Low</v>
          </cell>
          <cell r="U621">
            <v>20</v>
          </cell>
        </row>
        <row r="622">
          <cell r="N622" t="str">
            <v>Low</v>
          </cell>
          <cell r="U622">
            <v>15</v>
          </cell>
        </row>
        <row r="623">
          <cell r="N623" t="str">
            <v>Low</v>
          </cell>
          <cell r="U623">
            <v>8</v>
          </cell>
        </row>
        <row r="624">
          <cell r="N624" t="str">
            <v>Low</v>
          </cell>
          <cell r="U624">
            <v>3</v>
          </cell>
        </row>
        <row r="625">
          <cell r="N625" t="str">
            <v>Low</v>
          </cell>
          <cell r="U625">
            <v>2</v>
          </cell>
        </row>
        <row r="626">
          <cell r="N626" t="str">
            <v>Low</v>
          </cell>
          <cell r="U626">
            <v>5</v>
          </cell>
        </row>
        <row r="627">
          <cell r="N627" t="str">
            <v>Low</v>
          </cell>
          <cell r="U627">
            <v>34</v>
          </cell>
        </row>
        <row r="628">
          <cell r="N628" t="str">
            <v>Low</v>
          </cell>
          <cell r="U628">
            <v>34</v>
          </cell>
        </row>
        <row r="629">
          <cell r="N629" t="str">
            <v>Low</v>
          </cell>
          <cell r="U629">
            <v>55</v>
          </cell>
        </row>
        <row r="630">
          <cell r="N630" t="str">
            <v>Low</v>
          </cell>
          <cell r="U630">
            <v>64</v>
          </cell>
        </row>
        <row r="631">
          <cell r="N631" t="str">
            <v>Low</v>
          </cell>
          <cell r="U631">
            <v>78</v>
          </cell>
        </row>
        <row r="632">
          <cell r="N632" t="str">
            <v>Low</v>
          </cell>
          <cell r="U632">
            <v>65</v>
          </cell>
        </row>
        <row r="633">
          <cell r="N633" t="str">
            <v>Low</v>
          </cell>
          <cell r="U633">
            <v>99</v>
          </cell>
        </row>
        <row r="634">
          <cell r="N634" t="str">
            <v>Low</v>
          </cell>
          <cell r="U634">
            <v>120</v>
          </cell>
        </row>
        <row r="635">
          <cell r="N635" t="str">
            <v>Low</v>
          </cell>
          <cell r="U635">
            <v>107</v>
          </cell>
        </row>
        <row r="636">
          <cell r="N636" t="str">
            <v>Low</v>
          </cell>
          <cell r="U636">
            <v>91</v>
          </cell>
        </row>
        <row r="637">
          <cell r="N637" t="str">
            <v>Low</v>
          </cell>
          <cell r="U637">
            <v>68</v>
          </cell>
        </row>
        <row r="638">
          <cell r="N638" t="str">
            <v>Low</v>
          </cell>
          <cell r="U638">
            <v>58</v>
          </cell>
        </row>
        <row r="639">
          <cell r="N639" t="str">
            <v>Low</v>
          </cell>
          <cell r="U639">
            <v>43</v>
          </cell>
        </row>
        <row r="640">
          <cell r="N640" t="str">
            <v>Low</v>
          </cell>
          <cell r="U640">
            <v>36</v>
          </cell>
        </row>
        <row r="641">
          <cell r="N641" t="str">
            <v>Low</v>
          </cell>
          <cell r="U641">
            <v>32</v>
          </cell>
        </row>
        <row r="642">
          <cell r="N642" t="str">
            <v>Low</v>
          </cell>
          <cell r="U642">
            <v>33</v>
          </cell>
        </row>
        <row r="643">
          <cell r="N643" t="str">
            <v>Low</v>
          </cell>
          <cell r="U643">
            <v>33</v>
          </cell>
        </row>
        <row r="644">
          <cell r="N644" t="str">
            <v>Low</v>
          </cell>
          <cell r="U644">
            <v>29</v>
          </cell>
        </row>
        <row r="645">
          <cell r="N645" t="str">
            <v>Low</v>
          </cell>
          <cell r="U645">
            <v>11</v>
          </cell>
        </row>
        <row r="646">
          <cell r="N646" t="str">
            <v>Low</v>
          </cell>
          <cell r="U646">
            <v>8</v>
          </cell>
        </row>
        <row r="647">
          <cell r="N647" t="str">
            <v>Low</v>
          </cell>
          <cell r="U647">
            <v>1</v>
          </cell>
        </row>
        <row r="648">
          <cell r="N648" t="str">
            <v>Low</v>
          </cell>
          <cell r="U648">
            <v>3</v>
          </cell>
        </row>
        <row r="649">
          <cell r="N649" t="str">
            <v>Low</v>
          </cell>
          <cell r="U649">
            <v>3</v>
          </cell>
        </row>
        <row r="650">
          <cell r="N650" t="str">
            <v>Low</v>
          </cell>
          <cell r="U650">
            <v>12</v>
          </cell>
        </row>
        <row r="651">
          <cell r="N651" t="str">
            <v>Low</v>
          </cell>
          <cell r="U651">
            <v>38</v>
          </cell>
        </row>
        <row r="652">
          <cell r="N652" t="str">
            <v>Low</v>
          </cell>
          <cell r="U652">
            <v>64</v>
          </cell>
        </row>
        <row r="653">
          <cell r="N653" t="str">
            <v>Low</v>
          </cell>
          <cell r="U653">
            <v>59</v>
          </cell>
        </row>
        <row r="654">
          <cell r="N654" t="str">
            <v>Medium</v>
          </cell>
          <cell r="U654">
            <v>97</v>
          </cell>
        </row>
        <row r="655">
          <cell r="N655" t="str">
            <v>Low</v>
          </cell>
          <cell r="U655">
            <v>84</v>
          </cell>
        </row>
        <row r="656">
          <cell r="N656" t="str">
            <v>Medium</v>
          </cell>
          <cell r="U656">
            <v>122</v>
          </cell>
        </row>
        <row r="657">
          <cell r="N657" t="str">
            <v>Medium</v>
          </cell>
          <cell r="U657">
            <v>109</v>
          </cell>
        </row>
        <row r="658">
          <cell r="N658" t="str">
            <v>Medium</v>
          </cell>
          <cell r="U658">
            <v>123</v>
          </cell>
        </row>
        <row r="659">
          <cell r="N659" t="str">
            <v>Low</v>
          </cell>
          <cell r="U659">
            <v>77</v>
          </cell>
        </row>
        <row r="660">
          <cell r="N660" t="str">
            <v>Low</v>
          </cell>
          <cell r="U660">
            <v>65</v>
          </cell>
        </row>
        <row r="661">
          <cell r="N661" t="str">
            <v>Low</v>
          </cell>
          <cell r="U661">
            <v>55</v>
          </cell>
        </row>
        <row r="662">
          <cell r="N662" t="str">
            <v>Low</v>
          </cell>
          <cell r="U662">
            <v>33</v>
          </cell>
        </row>
        <row r="663">
          <cell r="N663" t="str">
            <v>Low</v>
          </cell>
          <cell r="U663">
            <v>28</v>
          </cell>
        </row>
        <row r="664">
          <cell r="N664" t="str">
            <v>Low</v>
          </cell>
          <cell r="U664">
            <v>21</v>
          </cell>
        </row>
        <row r="665">
          <cell r="N665" t="str">
            <v>Low</v>
          </cell>
          <cell r="U665">
            <v>21</v>
          </cell>
        </row>
        <row r="666">
          <cell r="N666" t="str">
            <v>Low</v>
          </cell>
          <cell r="U666">
            <v>7</v>
          </cell>
        </row>
        <row r="667">
          <cell r="N667" t="str">
            <v>Low</v>
          </cell>
          <cell r="U667">
            <v>7</v>
          </cell>
        </row>
        <row r="668">
          <cell r="N668" t="str">
            <v>Low</v>
          </cell>
          <cell r="U668">
            <v>1</v>
          </cell>
        </row>
        <row r="669">
          <cell r="N669" t="str">
            <v>Low</v>
          </cell>
          <cell r="U669">
            <v>2</v>
          </cell>
        </row>
        <row r="670">
          <cell r="N670" t="str">
            <v>Low</v>
          </cell>
          <cell r="U670">
            <v>2</v>
          </cell>
        </row>
        <row r="671">
          <cell r="N671" t="str">
            <v>Low</v>
          </cell>
          <cell r="U671">
            <v>8</v>
          </cell>
        </row>
        <row r="672">
          <cell r="N672" t="str">
            <v>Low</v>
          </cell>
          <cell r="U672">
            <v>37</v>
          </cell>
        </row>
        <row r="673">
          <cell r="N673" t="str">
            <v>Low</v>
          </cell>
          <cell r="U673">
            <v>72</v>
          </cell>
        </row>
        <row r="674">
          <cell r="N674" t="str">
            <v>Low</v>
          </cell>
          <cell r="U674">
            <v>185</v>
          </cell>
        </row>
        <row r="675">
          <cell r="N675" t="str">
            <v>Low</v>
          </cell>
          <cell r="U675">
            <v>112</v>
          </cell>
        </row>
        <row r="676">
          <cell r="N676" t="str">
            <v>Low</v>
          </cell>
          <cell r="U676">
            <v>69</v>
          </cell>
        </row>
        <row r="677">
          <cell r="N677" t="str">
            <v>Low</v>
          </cell>
          <cell r="U677">
            <v>48</v>
          </cell>
        </row>
        <row r="678">
          <cell r="N678" t="str">
            <v>Low</v>
          </cell>
          <cell r="U678">
            <v>68</v>
          </cell>
        </row>
        <row r="679">
          <cell r="N679" t="str">
            <v>Low</v>
          </cell>
          <cell r="U679">
            <v>54</v>
          </cell>
        </row>
        <row r="680">
          <cell r="N680" t="str">
            <v>Low</v>
          </cell>
          <cell r="U680">
            <v>86</v>
          </cell>
        </row>
        <row r="681">
          <cell r="N681" t="str">
            <v>Low</v>
          </cell>
          <cell r="U681">
            <v>44</v>
          </cell>
        </row>
        <row r="682">
          <cell r="N682" t="str">
            <v>Low</v>
          </cell>
          <cell r="U682">
            <v>86</v>
          </cell>
        </row>
        <row r="683">
          <cell r="N683" t="str">
            <v>Low</v>
          </cell>
          <cell r="U683">
            <v>161</v>
          </cell>
        </row>
        <row r="684">
          <cell r="N684" t="str">
            <v>Low</v>
          </cell>
          <cell r="U684">
            <v>156</v>
          </cell>
        </row>
        <row r="685">
          <cell r="N685" t="str">
            <v>Medium</v>
          </cell>
          <cell r="U685">
            <v>111</v>
          </cell>
        </row>
        <row r="686">
          <cell r="N686" t="str">
            <v>Low</v>
          </cell>
          <cell r="U686">
            <v>78</v>
          </cell>
        </row>
        <row r="687">
          <cell r="N687" t="str">
            <v>Low</v>
          </cell>
          <cell r="U687">
            <v>56</v>
          </cell>
        </row>
        <row r="688">
          <cell r="N688" t="str">
            <v>Low</v>
          </cell>
          <cell r="U688">
            <v>34</v>
          </cell>
        </row>
        <row r="689">
          <cell r="N689" t="str">
            <v>Low</v>
          </cell>
          <cell r="U689">
            <v>17</v>
          </cell>
        </row>
        <row r="690">
          <cell r="N690" t="str">
            <v>Low</v>
          </cell>
          <cell r="U690">
            <v>8</v>
          </cell>
        </row>
        <row r="691">
          <cell r="N691" t="str">
            <v>Low</v>
          </cell>
          <cell r="U691">
            <v>3</v>
          </cell>
        </row>
        <row r="692">
          <cell r="N692" t="str">
            <v>Low</v>
          </cell>
          <cell r="U692">
            <v>2</v>
          </cell>
        </row>
        <row r="693">
          <cell r="N693" t="str">
            <v>Low</v>
          </cell>
          <cell r="U693">
            <v>2</v>
          </cell>
        </row>
        <row r="694">
          <cell r="N694" t="str">
            <v>Low</v>
          </cell>
          <cell r="U694">
            <v>3</v>
          </cell>
        </row>
        <row r="695">
          <cell r="N695" t="str">
            <v>Low</v>
          </cell>
          <cell r="U695">
            <v>22</v>
          </cell>
        </row>
        <row r="696">
          <cell r="N696" t="str">
            <v>Low</v>
          </cell>
          <cell r="U696">
            <v>52</v>
          </cell>
        </row>
        <row r="697">
          <cell r="N697" t="str">
            <v>Low</v>
          </cell>
          <cell r="U697">
            <v>135</v>
          </cell>
        </row>
        <row r="698">
          <cell r="N698" t="str">
            <v>Low</v>
          </cell>
          <cell r="U698">
            <v>116</v>
          </cell>
        </row>
        <row r="699">
          <cell r="N699" t="str">
            <v>Low</v>
          </cell>
          <cell r="U699">
            <v>47</v>
          </cell>
        </row>
        <row r="700">
          <cell r="N700" t="str">
            <v>Low</v>
          </cell>
          <cell r="U700">
            <v>51</v>
          </cell>
        </row>
        <row r="701">
          <cell r="N701" t="str">
            <v>Low</v>
          </cell>
          <cell r="U701">
            <v>55</v>
          </cell>
        </row>
        <row r="702">
          <cell r="N702" t="str">
            <v>Low</v>
          </cell>
          <cell r="U702">
            <v>52</v>
          </cell>
        </row>
        <row r="703">
          <cell r="N703" t="str">
            <v>Low</v>
          </cell>
          <cell r="U703">
            <v>54</v>
          </cell>
        </row>
        <row r="704">
          <cell r="N704" t="str">
            <v>Low</v>
          </cell>
          <cell r="U704">
            <v>52</v>
          </cell>
        </row>
        <row r="705">
          <cell r="N705" t="str">
            <v>Low</v>
          </cell>
          <cell r="U705">
            <v>64</v>
          </cell>
        </row>
        <row r="706">
          <cell r="N706" t="str">
            <v>Low</v>
          </cell>
          <cell r="U706">
            <v>176</v>
          </cell>
        </row>
        <row r="707">
          <cell r="N707" t="str">
            <v>Low</v>
          </cell>
          <cell r="U707">
            <v>168</v>
          </cell>
        </row>
        <row r="708">
          <cell r="N708" t="str">
            <v>Low</v>
          </cell>
          <cell r="U708">
            <v>108</v>
          </cell>
        </row>
        <row r="709">
          <cell r="N709" t="str">
            <v>Low</v>
          </cell>
          <cell r="U709">
            <v>74</v>
          </cell>
        </row>
        <row r="710">
          <cell r="N710" t="str">
            <v>Low</v>
          </cell>
          <cell r="U710">
            <v>64</v>
          </cell>
        </row>
        <row r="711">
          <cell r="N711" t="str">
            <v>Low</v>
          </cell>
          <cell r="U711">
            <v>36</v>
          </cell>
        </row>
        <row r="712">
          <cell r="N712" t="str">
            <v>Low</v>
          </cell>
          <cell r="U712">
            <v>16</v>
          </cell>
        </row>
        <row r="713">
          <cell r="N713" t="str">
            <v>Low</v>
          </cell>
          <cell r="U713">
            <v>2</v>
          </cell>
        </row>
        <row r="714">
          <cell r="N714" t="str">
            <v>Low</v>
          </cell>
          <cell r="U714">
            <v>3</v>
          </cell>
        </row>
        <row r="715">
          <cell r="N715" t="str">
            <v>Low</v>
          </cell>
          <cell r="U715">
            <v>4</v>
          </cell>
        </row>
        <row r="716">
          <cell r="N716" t="str">
            <v>Low</v>
          </cell>
          <cell r="U716">
            <v>1</v>
          </cell>
        </row>
        <row r="717">
          <cell r="N717" t="str">
            <v>Low</v>
          </cell>
          <cell r="U717">
            <v>1</v>
          </cell>
        </row>
        <row r="718">
          <cell r="N718" t="str">
            <v>Low</v>
          </cell>
          <cell r="U718">
            <v>3</v>
          </cell>
        </row>
        <row r="719">
          <cell r="N719" t="str">
            <v>Low</v>
          </cell>
          <cell r="U719">
            <v>18</v>
          </cell>
        </row>
        <row r="720">
          <cell r="N720" t="str">
            <v>Low</v>
          </cell>
          <cell r="U720">
            <v>49</v>
          </cell>
        </row>
        <row r="721">
          <cell r="N721" t="str">
            <v>Low</v>
          </cell>
          <cell r="U721">
            <v>155</v>
          </cell>
        </row>
        <row r="722">
          <cell r="N722" t="str">
            <v>Low</v>
          </cell>
          <cell r="U722">
            <v>123</v>
          </cell>
        </row>
        <row r="723">
          <cell r="N723" t="str">
            <v>Low</v>
          </cell>
          <cell r="U723">
            <v>61</v>
          </cell>
        </row>
        <row r="724">
          <cell r="N724" t="str">
            <v>Low</v>
          </cell>
          <cell r="U724">
            <v>52</v>
          </cell>
        </row>
        <row r="725">
          <cell r="N725" t="str">
            <v>Low</v>
          </cell>
          <cell r="U725">
            <v>64</v>
          </cell>
        </row>
        <row r="726">
          <cell r="N726" t="str">
            <v>Medium</v>
          </cell>
          <cell r="U726">
            <v>75</v>
          </cell>
        </row>
        <row r="727">
          <cell r="N727" t="str">
            <v>Medium</v>
          </cell>
          <cell r="U727">
            <v>63</v>
          </cell>
        </row>
        <row r="728">
          <cell r="N728" t="str">
            <v>Medium</v>
          </cell>
          <cell r="U728">
            <v>76</v>
          </cell>
        </row>
        <row r="729">
          <cell r="N729" t="str">
            <v>Medium</v>
          </cell>
          <cell r="U729">
            <v>103</v>
          </cell>
        </row>
        <row r="730">
          <cell r="N730" t="str">
            <v>Medium</v>
          </cell>
          <cell r="U730">
            <v>190</v>
          </cell>
        </row>
        <row r="731">
          <cell r="N731" t="str">
            <v>Low</v>
          </cell>
          <cell r="U731">
            <v>182</v>
          </cell>
        </row>
        <row r="732">
          <cell r="N732" t="str">
            <v>Low</v>
          </cell>
          <cell r="U732">
            <v>91</v>
          </cell>
        </row>
        <row r="733">
          <cell r="N733" t="str">
            <v>Low</v>
          </cell>
          <cell r="U733">
            <v>75</v>
          </cell>
        </row>
        <row r="734">
          <cell r="N734" t="str">
            <v>Low</v>
          </cell>
          <cell r="U734">
            <v>63</v>
          </cell>
        </row>
        <row r="735">
          <cell r="N735" t="str">
            <v>Low</v>
          </cell>
          <cell r="U735">
            <v>40</v>
          </cell>
        </row>
        <row r="736">
          <cell r="N736" t="str">
            <v>Low</v>
          </cell>
          <cell r="U736">
            <v>32</v>
          </cell>
        </row>
        <row r="737">
          <cell r="N737" t="str">
            <v>Low</v>
          </cell>
          <cell r="U737">
            <v>12</v>
          </cell>
        </row>
        <row r="738">
          <cell r="N738" t="str">
            <v>Low</v>
          </cell>
          <cell r="U738">
            <v>5</v>
          </cell>
        </row>
        <row r="739">
          <cell r="N739" t="str">
            <v>Low</v>
          </cell>
          <cell r="U739">
            <v>2</v>
          </cell>
        </row>
        <row r="740">
          <cell r="N740" t="str">
            <v>Low</v>
          </cell>
          <cell r="U740">
            <v>1</v>
          </cell>
        </row>
        <row r="741">
          <cell r="N741" t="str">
            <v>Low</v>
          </cell>
          <cell r="U741">
            <v>2</v>
          </cell>
        </row>
        <row r="742">
          <cell r="N742" t="str">
            <v>Low</v>
          </cell>
          <cell r="U742">
            <v>39</v>
          </cell>
        </row>
        <row r="743">
          <cell r="N743" t="str">
            <v>Low</v>
          </cell>
          <cell r="U743">
            <v>87</v>
          </cell>
        </row>
        <row r="744">
          <cell r="N744" t="str">
            <v>Low</v>
          </cell>
          <cell r="U744">
            <v>188</v>
          </cell>
        </row>
        <row r="745">
          <cell r="N745" t="str">
            <v>Low</v>
          </cell>
          <cell r="U745">
            <v>133</v>
          </cell>
        </row>
        <row r="746">
          <cell r="N746" t="str">
            <v>Low</v>
          </cell>
          <cell r="U746">
            <v>52</v>
          </cell>
        </row>
        <row r="747">
          <cell r="N747" t="str">
            <v>Low</v>
          </cell>
          <cell r="U747">
            <v>64</v>
          </cell>
        </row>
        <row r="748">
          <cell r="N748" t="str">
            <v>Low</v>
          </cell>
          <cell r="U748">
            <v>69</v>
          </cell>
        </row>
        <row r="749">
          <cell r="N749" t="str">
            <v>Low</v>
          </cell>
          <cell r="U749">
            <v>51</v>
          </cell>
        </row>
        <row r="750">
          <cell r="N750" t="str">
            <v>Low</v>
          </cell>
          <cell r="U750">
            <v>47</v>
          </cell>
        </row>
        <row r="751">
          <cell r="N751" t="str">
            <v>Low</v>
          </cell>
          <cell r="U751">
            <v>60</v>
          </cell>
        </row>
        <row r="752">
          <cell r="N752" t="str">
            <v>Low</v>
          </cell>
          <cell r="U752">
            <v>78</v>
          </cell>
        </row>
        <row r="753">
          <cell r="N753" t="str">
            <v>Low</v>
          </cell>
          <cell r="U753">
            <v>175</v>
          </cell>
        </row>
        <row r="754">
          <cell r="N754" t="str">
            <v>Low</v>
          </cell>
          <cell r="U754">
            <v>147</v>
          </cell>
        </row>
        <row r="755">
          <cell r="N755" t="str">
            <v>Low</v>
          </cell>
          <cell r="U755">
            <v>96</v>
          </cell>
        </row>
        <row r="756">
          <cell r="N756" t="str">
            <v>Low</v>
          </cell>
          <cell r="U756">
            <v>109</v>
          </cell>
        </row>
        <row r="757">
          <cell r="N757" t="str">
            <v>Low</v>
          </cell>
          <cell r="U757">
            <v>54</v>
          </cell>
        </row>
        <row r="758">
          <cell r="N758" t="str">
            <v>Low</v>
          </cell>
          <cell r="U758">
            <v>41</v>
          </cell>
        </row>
        <row r="759">
          <cell r="N759" t="str">
            <v>Low</v>
          </cell>
          <cell r="U759">
            <v>38</v>
          </cell>
        </row>
        <row r="760">
          <cell r="N760" t="str">
            <v>Low</v>
          </cell>
          <cell r="U760">
            <v>13</v>
          </cell>
        </row>
        <row r="761">
          <cell r="N761" t="str">
            <v>Low</v>
          </cell>
          <cell r="U761">
            <v>7</v>
          </cell>
        </row>
        <row r="762">
          <cell r="N762" t="str">
            <v>Low</v>
          </cell>
          <cell r="U762">
            <v>1</v>
          </cell>
        </row>
        <row r="763">
          <cell r="N763" t="str">
            <v>Low</v>
          </cell>
          <cell r="U763">
            <v>1</v>
          </cell>
        </row>
        <row r="764">
          <cell r="N764" t="str">
            <v>Low</v>
          </cell>
          <cell r="U764">
            <v>7</v>
          </cell>
        </row>
        <row r="765">
          <cell r="N765" t="str">
            <v>Low</v>
          </cell>
          <cell r="U765">
            <v>28</v>
          </cell>
        </row>
        <row r="766">
          <cell r="N766" t="str">
            <v>Low</v>
          </cell>
          <cell r="U766">
            <v>87</v>
          </cell>
        </row>
        <row r="767">
          <cell r="N767" t="str">
            <v>Low</v>
          </cell>
          <cell r="U767">
            <v>220</v>
          </cell>
        </row>
        <row r="768">
          <cell r="N768" t="str">
            <v>Low</v>
          </cell>
          <cell r="U768">
            <v>127</v>
          </cell>
        </row>
        <row r="769">
          <cell r="N769" t="str">
            <v>Low</v>
          </cell>
          <cell r="U769">
            <v>51</v>
          </cell>
        </row>
        <row r="770">
          <cell r="N770" t="str">
            <v>Low</v>
          </cell>
          <cell r="U770">
            <v>64</v>
          </cell>
        </row>
        <row r="771">
          <cell r="N771" t="str">
            <v>Low</v>
          </cell>
          <cell r="U771">
            <v>86</v>
          </cell>
        </row>
        <row r="772">
          <cell r="N772" t="str">
            <v>Low</v>
          </cell>
          <cell r="U772">
            <v>82</v>
          </cell>
        </row>
        <row r="773">
          <cell r="N773" t="str">
            <v>Low</v>
          </cell>
          <cell r="U773">
            <v>91</v>
          </cell>
        </row>
        <row r="774">
          <cell r="N774" t="str">
            <v>Low</v>
          </cell>
          <cell r="U774">
            <v>90</v>
          </cell>
        </row>
        <row r="775">
          <cell r="N775" t="str">
            <v>Low</v>
          </cell>
          <cell r="U775">
            <v>99</v>
          </cell>
        </row>
        <row r="776">
          <cell r="N776" t="str">
            <v>Low</v>
          </cell>
          <cell r="U776">
            <v>205</v>
          </cell>
        </row>
        <row r="777">
          <cell r="N777" t="str">
            <v>Low</v>
          </cell>
          <cell r="U777">
            <v>155</v>
          </cell>
        </row>
        <row r="778">
          <cell r="N778" t="str">
            <v>Low</v>
          </cell>
          <cell r="U778">
            <v>103</v>
          </cell>
        </row>
        <row r="779">
          <cell r="N779" t="str">
            <v>Low</v>
          </cell>
          <cell r="U779">
            <v>71</v>
          </cell>
        </row>
        <row r="780">
          <cell r="N780" t="str">
            <v>Low</v>
          </cell>
          <cell r="U780">
            <v>43</v>
          </cell>
        </row>
        <row r="781">
          <cell r="N781" t="str">
            <v>Low</v>
          </cell>
          <cell r="U781">
            <v>46</v>
          </cell>
        </row>
        <row r="782">
          <cell r="N782" t="str">
            <v>Low</v>
          </cell>
          <cell r="U782">
            <v>31</v>
          </cell>
        </row>
        <row r="783">
          <cell r="N783" t="str">
            <v>Low</v>
          </cell>
          <cell r="U783">
            <v>39</v>
          </cell>
        </row>
        <row r="784">
          <cell r="N784" t="str">
            <v>Low</v>
          </cell>
          <cell r="U784">
            <v>18</v>
          </cell>
        </row>
        <row r="785">
          <cell r="N785" t="str">
            <v>Low</v>
          </cell>
          <cell r="U785">
            <v>17</v>
          </cell>
        </row>
        <row r="786">
          <cell r="N786" t="str">
            <v>Low</v>
          </cell>
          <cell r="U786">
            <v>11</v>
          </cell>
        </row>
        <row r="787">
          <cell r="N787" t="str">
            <v>Low</v>
          </cell>
          <cell r="U787">
            <v>8</v>
          </cell>
        </row>
        <row r="788">
          <cell r="N788" t="str">
            <v>Low</v>
          </cell>
          <cell r="U788">
            <v>9</v>
          </cell>
        </row>
        <row r="789">
          <cell r="N789" t="str">
            <v>Low</v>
          </cell>
          <cell r="U789">
            <v>4</v>
          </cell>
        </row>
        <row r="790">
          <cell r="N790" t="str">
            <v>Low</v>
          </cell>
          <cell r="U790">
            <v>4</v>
          </cell>
        </row>
        <row r="791">
          <cell r="N791" t="str">
            <v>Low</v>
          </cell>
          <cell r="U791">
            <v>10</v>
          </cell>
        </row>
        <row r="792">
          <cell r="N792" t="str">
            <v>Low</v>
          </cell>
          <cell r="U792">
            <v>20</v>
          </cell>
        </row>
        <row r="793">
          <cell r="N793" t="str">
            <v>Low</v>
          </cell>
          <cell r="U793">
            <v>34</v>
          </cell>
        </row>
        <row r="794">
          <cell r="N794" t="str">
            <v>Low</v>
          </cell>
          <cell r="U794">
            <v>47</v>
          </cell>
        </row>
        <row r="795">
          <cell r="N795" t="str">
            <v>Low</v>
          </cell>
          <cell r="U795">
            <v>52</v>
          </cell>
        </row>
        <row r="796">
          <cell r="N796" t="str">
            <v>Low</v>
          </cell>
          <cell r="U796">
            <v>72</v>
          </cell>
        </row>
        <row r="797">
          <cell r="N797" t="str">
            <v>Low</v>
          </cell>
          <cell r="U797">
            <v>55</v>
          </cell>
        </row>
        <row r="798">
          <cell r="N798" t="str">
            <v>Low</v>
          </cell>
          <cell r="U798">
            <v>60</v>
          </cell>
        </row>
        <row r="799">
          <cell r="N799" t="str">
            <v>Low</v>
          </cell>
          <cell r="U799">
            <v>71</v>
          </cell>
        </row>
        <row r="800">
          <cell r="N800" t="str">
            <v>Low</v>
          </cell>
          <cell r="U800">
            <v>78</v>
          </cell>
        </row>
        <row r="801">
          <cell r="N801" t="str">
            <v>Low</v>
          </cell>
          <cell r="U801">
            <v>83</v>
          </cell>
        </row>
        <row r="802">
          <cell r="N802" t="str">
            <v>Low</v>
          </cell>
          <cell r="U802">
            <v>84</v>
          </cell>
        </row>
        <row r="803">
          <cell r="N803" t="str">
            <v>Low</v>
          </cell>
          <cell r="U803">
            <v>69</v>
          </cell>
        </row>
        <row r="804">
          <cell r="N804" t="str">
            <v>Low</v>
          </cell>
          <cell r="U804">
            <v>56</v>
          </cell>
        </row>
        <row r="805">
          <cell r="N805" t="str">
            <v>Low</v>
          </cell>
          <cell r="U805">
            <v>45</v>
          </cell>
        </row>
        <row r="806">
          <cell r="N806" t="str">
            <v>Low</v>
          </cell>
          <cell r="U806">
            <v>59</v>
          </cell>
        </row>
        <row r="807">
          <cell r="N807" t="str">
            <v>Low</v>
          </cell>
          <cell r="U807">
            <v>39</v>
          </cell>
        </row>
        <row r="808">
          <cell r="N808" t="str">
            <v>Low</v>
          </cell>
          <cell r="U808">
            <v>44</v>
          </cell>
        </row>
        <row r="809">
          <cell r="N809" t="str">
            <v>Low</v>
          </cell>
          <cell r="U809">
            <v>20</v>
          </cell>
        </row>
        <row r="810">
          <cell r="N810" t="str">
            <v>Low</v>
          </cell>
          <cell r="U810">
            <v>13</v>
          </cell>
        </row>
        <row r="811">
          <cell r="N811" t="str">
            <v>Low</v>
          </cell>
          <cell r="U811">
            <v>2</v>
          </cell>
        </row>
        <row r="812">
          <cell r="N812" t="str">
            <v>Low</v>
          </cell>
          <cell r="U812">
            <v>1</v>
          </cell>
        </row>
        <row r="813">
          <cell r="N813" t="str">
            <v>Low</v>
          </cell>
          <cell r="U813">
            <v>1</v>
          </cell>
        </row>
        <row r="814">
          <cell r="N814" t="str">
            <v>Low</v>
          </cell>
          <cell r="U814">
            <v>8</v>
          </cell>
        </row>
        <row r="815">
          <cell r="N815" t="str">
            <v>Low</v>
          </cell>
          <cell r="U815">
            <v>23</v>
          </cell>
        </row>
        <row r="816">
          <cell r="N816" t="str">
            <v>Low</v>
          </cell>
          <cell r="U816">
            <v>45</v>
          </cell>
        </row>
        <row r="817">
          <cell r="N817" t="str">
            <v>Low</v>
          </cell>
          <cell r="U817">
            <v>89</v>
          </cell>
        </row>
        <row r="818">
          <cell r="N818" t="str">
            <v>Medium</v>
          </cell>
          <cell r="U818">
            <v>117</v>
          </cell>
        </row>
        <row r="819">
          <cell r="N819" t="str">
            <v>Medium</v>
          </cell>
          <cell r="U819">
            <v>174</v>
          </cell>
        </row>
        <row r="820">
          <cell r="N820" t="str">
            <v>Medium</v>
          </cell>
          <cell r="U820">
            <v>182</v>
          </cell>
        </row>
        <row r="821">
          <cell r="N821" t="str">
            <v>Medium</v>
          </cell>
          <cell r="U821">
            <v>161</v>
          </cell>
        </row>
        <row r="822">
          <cell r="N822" t="str">
            <v>Medium</v>
          </cell>
          <cell r="U822">
            <v>182</v>
          </cell>
        </row>
        <row r="823">
          <cell r="N823" t="str">
            <v>Medium</v>
          </cell>
          <cell r="U823">
            <v>157</v>
          </cell>
        </row>
        <row r="824">
          <cell r="N824" t="str">
            <v>Medium</v>
          </cell>
          <cell r="U824">
            <v>121</v>
          </cell>
        </row>
        <row r="825">
          <cell r="N825" t="str">
            <v>Medium</v>
          </cell>
          <cell r="U825">
            <v>78</v>
          </cell>
        </row>
        <row r="826">
          <cell r="N826" t="str">
            <v>Low</v>
          </cell>
          <cell r="U826">
            <v>21</v>
          </cell>
        </row>
        <row r="827">
          <cell r="N827" t="str">
            <v>Low</v>
          </cell>
          <cell r="U827">
            <v>26</v>
          </cell>
        </row>
        <row r="828">
          <cell r="N828" t="str">
            <v>Medium</v>
          </cell>
          <cell r="U828">
            <v>27</v>
          </cell>
        </row>
        <row r="829">
          <cell r="N829" t="str">
            <v>Medium</v>
          </cell>
          <cell r="U829">
            <v>62</v>
          </cell>
        </row>
        <row r="830">
          <cell r="N830" t="str">
            <v>Low</v>
          </cell>
          <cell r="U830">
            <v>30</v>
          </cell>
        </row>
        <row r="831">
          <cell r="N831" t="str">
            <v>Low</v>
          </cell>
          <cell r="U831">
            <v>15</v>
          </cell>
        </row>
        <row r="832">
          <cell r="N832" t="str">
            <v>Low</v>
          </cell>
          <cell r="U832">
            <v>5</v>
          </cell>
        </row>
        <row r="833">
          <cell r="N833" t="str">
            <v>Low</v>
          </cell>
          <cell r="U833">
            <v>3</v>
          </cell>
        </row>
        <row r="834">
          <cell r="N834" t="str">
            <v>Low</v>
          </cell>
          <cell r="U834">
            <v>1</v>
          </cell>
        </row>
        <row r="835">
          <cell r="N835" t="str">
            <v>Low</v>
          </cell>
          <cell r="U835">
            <v>2</v>
          </cell>
        </row>
        <row r="836">
          <cell r="N836" t="str">
            <v>Low</v>
          </cell>
          <cell r="U836">
            <v>10</v>
          </cell>
        </row>
        <row r="837">
          <cell r="N837" t="str">
            <v>Low</v>
          </cell>
          <cell r="U837">
            <v>30</v>
          </cell>
        </row>
        <row r="838">
          <cell r="N838" t="str">
            <v>Low</v>
          </cell>
          <cell r="U838">
            <v>95</v>
          </cell>
        </row>
        <row r="839">
          <cell r="N839" t="str">
            <v>Low</v>
          </cell>
          <cell r="U839">
            <v>230</v>
          </cell>
        </row>
        <row r="840">
          <cell r="N840" t="str">
            <v>Low</v>
          </cell>
          <cell r="U840">
            <v>118</v>
          </cell>
        </row>
        <row r="841">
          <cell r="N841" t="str">
            <v>Low</v>
          </cell>
          <cell r="U841">
            <v>55</v>
          </cell>
        </row>
        <row r="842">
          <cell r="N842" t="str">
            <v>Medium</v>
          </cell>
          <cell r="U842">
            <v>47</v>
          </cell>
        </row>
        <row r="843">
          <cell r="N843" t="str">
            <v>Medium</v>
          </cell>
          <cell r="U843">
            <v>66</v>
          </cell>
        </row>
        <row r="844">
          <cell r="N844" t="str">
            <v>Medium</v>
          </cell>
          <cell r="U844">
            <v>64</v>
          </cell>
        </row>
        <row r="845">
          <cell r="N845" t="str">
            <v>Medium</v>
          </cell>
          <cell r="U845">
            <v>60</v>
          </cell>
        </row>
        <row r="846">
          <cell r="N846" t="str">
            <v>Medium</v>
          </cell>
          <cell r="U846">
            <v>50</v>
          </cell>
        </row>
        <row r="847">
          <cell r="N847" t="str">
            <v>Medium</v>
          </cell>
          <cell r="U847">
            <v>114</v>
          </cell>
        </row>
        <row r="848">
          <cell r="N848" t="str">
            <v>Medium</v>
          </cell>
          <cell r="U848">
            <v>216</v>
          </cell>
        </row>
        <row r="849">
          <cell r="N849" t="str">
            <v>Medium</v>
          </cell>
          <cell r="U849">
            <v>175</v>
          </cell>
        </row>
        <row r="850">
          <cell r="N850" t="str">
            <v>Medium</v>
          </cell>
          <cell r="U850">
            <v>128</v>
          </cell>
        </row>
        <row r="851">
          <cell r="N851" t="str">
            <v>Medium</v>
          </cell>
          <cell r="U851">
            <v>88</v>
          </cell>
        </row>
        <row r="852">
          <cell r="N852" t="str">
            <v>Medium</v>
          </cell>
          <cell r="U852">
            <v>78</v>
          </cell>
        </row>
        <row r="853">
          <cell r="N853" t="str">
            <v>Medium</v>
          </cell>
          <cell r="U853">
            <v>37</v>
          </cell>
        </row>
        <row r="854">
          <cell r="N854" t="str">
            <v>Medium</v>
          </cell>
          <cell r="U854">
            <v>25</v>
          </cell>
        </row>
        <row r="855">
          <cell r="N855" t="str">
            <v>Medium</v>
          </cell>
          <cell r="U855">
            <v>10</v>
          </cell>
        </row>
        <row r="856">
          <cell r="N856" t="str">
            <v>Medium</v>
          </cell>
          <cell r="U856">
            <v>4</v>
          </cell>
        </row>
        <row r="857">
          <cell r="N857" t="str">
            <v>Low</v>
          </cell>
          <cell r="U857">
            <v>2</v>
          </cell>
        </row>
        <row r="858">
          <cell r="N858" t="str">
            <v>Low</v>
          </cell>
          <cell r="U858">
            <v>1</v>
          </cell>
        </row>
        <row r="859">
          <cell r="N859" t="str">
            <v>Low</v>
          </cell>
          <cell r="U859">
            <v>3</v>
          </cell>
        </row>
        <row r="860">
          <cell r="N860" t="str">
            <v>Low</v>
          </cell>
          <cell r="U860">
            <v>2</v>
          </cell>
        </row>
        <row r="861">
          <cell r="N861" t="str">
            <v>Low</v>
          </cell>
          <cell r="U861">
            <v>39</v>
          </cell>
        </row>
        <row r="862">
          <cell r="N862" t="str">
            <v>Low</v>
          </cell>
          <cell r="U862">
            <v>100</v>
          </cell>
        </row>
        <row r="863">
          <cell r="N863" t="str">
            <v>Low</v>
          </cell>
          <cell r="U863">
            <v>243</v>
          </cell>
        </row>
        <row r="864">
          <cell r="N864" t="str">
            <v>Low</v>
          </cell>
          <cell r="U864">
            <v>135</v>
          </cell>
        </row>
        <row r="865">
          <cell r="N865" t="str">
            <v>Low</v>
          </cell>
          <cell r="U865">
            <v>48</v>
          </cell>
        </row>
        <row r="866">
          <cell r="N866" t="str">
            <v>Low</v>
          </cell>
          <cell r="U866">
            <v>50</v>
          </cell>
        </row>
        <row r="867">
          <cell r="N867" t="str">
            <v>Low</v>
          </cell>
          <cell r="U867">
            <v>65</v>
          </cell>
        </row>
        <row r="868">
          <cell r="N868" t="str">
            <v>Low</v>
          </cell>
          <cell r="U868">
            <v>50</v>
          </cell>
        </row>
        <row r="869">
          <cell r="N869" t="str">
            <v>Low</v>
          </cell>
          <cell r="U869">
            <v>64</v>
          </cell>
        </row>
        <row r="870">
          <cell r="N870" t="str">
            <v>Low</v>
          </cell>
          <cell r="U870">
            <v>51</v>
          </cell>
        </row>
        <row r="871">
          <cell r="N871" t="str">
            <v>Low</v>
          </cell>
          <cell r="U871">
            <v>83</v>
          </cell>
        </row>
        <row r="872">
          <cell r="N872" t="str">
            <v>Low</v>
          </cell>
          <cell r="U872">
            <v>176</v>
          </cell>
        </row>
        <row r="873">
          <cell r="N873" t="str">
            <v>Low</v>
          </cell>
          <cell r="U873">
            <v>152</v>
          </cell>
        </row>
        <row r="874">
          <cell r="N874" t="str">
            <v>Low</v>
          </cell>
          <cell r="U874">
            <v>101</v>
          </cell>
        </row>
        <row r="875">
          <cell r="N875" t="str">
            <v>Low</v>
          </cell>
          <cell r="U875">
            <v>56</v>
          </cell>
        </row>
        <row r="876">
          <cell r="N876" t="str">
            <v>Low</v>
          </cell>
          <cell r="U876">
            <v>54</v>
          </cell>
        </row>
        <row r="877">
          <cell r="N877" t="str">
            <v>Low</v>
          </cell>
          <cell r="U877">
            <v>29</v>
          </cell>
        </row>
        <row r="878">
          <cell r="N878" t="str">
            <v>Low</v>
          </cell>
          <cell r="U878">
            <v>12</v>
          </cell>
        </row>
        <row r="879">
          <cell r="N879" t="str">
            <v>Low</v>
          </cell>
          <cell r="U879">
            <v>17</v>
          </cell>
        </row>
        <row r="880">
          <cell r="N880" t="str">
            <v>Low</v>
          </cell>
          <cell r="U880">
            <v>7</v>
          </cell>
        </row>
        <row r="881">
          <cell r="N881" t="str">
            <v>Low</v>
          </cell>
          <cell r="U881">
            <v>3</v>
          </cell>
        </row>
        <row r="882">
          <cell r="N882" t="str">
            <v>Low</v>
          </cell>
          <cell r="U882">
            <v>2</v>
          </cell>
        </row>
        <row r="883">
          <cell r="N883" t="str">
            <v>Low</v>
          </cell>
          <cell r="U883">
            <v>7</v>
          </cell>
        </row>
        <row r="884">
          <cell r="N884" t="str">
            <v>Low</v>
          </cell>
          <cell r="U884">
            <v>43</v>
          </cell>
        </row>
        <row r="885">
          <cell r="N885" t="str">
            <v>Low</v>
          </cell>
          <cell r="U885">
            <v>99</v>
          </cell>
        </row>
        <row r="886">
          <cell r="N886" t="str">
            <v>Low</v>
          </cell>
          <cell r="U886">
            <v>199</v>
          </cell>
        </row>
        <row r="887">
          <cell r="N887" t="str">
            <v>Low</v>
          </cell>
          <cell r="U887">
            <v>123</v>
          </cell>
        </row>
        <row r="888">
          <cell r="N888" t="str">
            <v>Low</v>
          </cell>
          <cell r="U888">
            <v>59</v>
          </cell>
        </row>
        <row r="889">
          <cell r="N889" t="str">
            <v>Low</v>
          </cell>
          <cell r="U889">
            <v>41</v>
          </cell>
        </row>
        <row r="890">
          <cell r="N890" t="str">
            <v>Low</v>
          </cell>
          <cell r="U890">
            <v>61</v>
          </cell>
        </row>
        <row r="891">
          <cell r="N891" t="str">
            <v>Low</v>
          </cell>
          <cell r="U891">
            <v>69</v>
          </cell>
        </row>
        <row r="892">
          <cell r="N892" t="str">
            <v>Low</v>
          </cell>
          <cell r="U892">
            <v>58</v>
          </cell>
        </row>
        <row r="893">
          <cell r="N893" t="str">
            <v>Low</v>
          </cell>
          <cell r="U893">
            <v>64</v>
          </cell>
        </row>
        <row r="894">
          <cell r="N894" t="str">
            <v>Low</v>
          </cell>
          <cell r="U894">
            <v>79</v>
          </cell>
        </row>
        <row r="895">
          <cell r="N895" t="str">
            <v>Low</v>
          </cell>
          <cell r="U895">
            <v>166</v>
          </cell>
        </row>
        <row r="896">
          <cell r="N896" t="str">
            <v>Low</v>
          </cell>
          <cell r="U896">
            <v>170</v>
          </cell>
        </row>
        <row r="897">
          <cell r="N897" t="str">
            <v>Low</v>
          </cell>
          <cell r="U897">
            <v>88</v>
          </cell>
        </row>
        <row r="898">
          <cell r="N898" t="str">
            <v>Low</v>
          </cell>
          <cell r="U898">
            <v>84</v>
          </cell>
        </row>
        <row r="899">
          <cell r="N899" t="str">
            <v>Low</v>
          </cell>
          <cell r="U899">
            <v>83</v>
          </cell>
        </row>
        <row r="900">
          <cell r="N900" t="str">
            <v>Low</v>
          </cell>
          <cell r="U900">
            <v>46</v>
          </cell>
        </row>
        <row r="901">
          <cell r="N901" t="str">
            <v>Low</v>
          </cell>
          <cell r="U901">
            <v>37</v>
          </cell>
        </row>
        <row r="902">
          <cell r="N902" t="str">
            <v>Low</v>
          </cell>
          <cell r="U902">
            <v>16</v>
          </cell>
        </row>
        <row r="903">
          <cell r="N903" t="str">
            <v>Low</v>
          </cell>
          <cell r="U903">
            <v>7</v>
          </cell>
        </row>
        <row r="904">
          <cell r="N904" t="str">
            <v>Low</v>
          </cell>
          <cell r="U904">
            <v>3</v>
          </cell>
        </row>
        <row r="905">
          <cell r="N905" t="str">
            <v>Low</v>
          </cell>
          <cell r="U905">
            <v>1</v>
          </cell>
        </row>
        <row r="906">
          <cell r="N906" t="str">
            <v>Low</v>
          </cell>
          <cell r="U906">
            <v>6</v>
          </cell>
        </row>
        <row r="907">
          <cell r="N907" t="str">
            <v>Low</v>
          </cell>
          <cell r="U907">
            <v>26</v>
          </cell>
        </row>
        <row r="908">
          <cell r="N908" t="str">
            <v>Low</v>
          </cell>
          <cell r="U908">
            <v>99</v>
          </cell>
        </row>
        <row r="909">
          <cell r="N909" t="str">
            <v>Low</v>
          </cell>
          <cell r="U909">
            <v>178</v>
          </cell>
        </row>
        <row r="910">
          <cell r="N910" t="str">
            <v>Low</v>
          </cell>
          <cell r="U910">
            <v>122</v>
          </cell>
        </row>
        <row r="911">
          <cell r="N911" t="str">
            <v>Low</v>
          </cell>
          <cell r="U911">
            <v>35</v>
          </cell>
        </row>
        <row r="912">
          <cell r="N912" t="str">
            <v>Low</v>
          </cell>
          <cell r="U912">
            <v>45</v>
          </cell>
        </row>
        <row r="913">
          <cell r="N913" t="str">
            <v>Low</v>
          </cell>
          <cell r="U913">
            <v>69</v>
          </cell>
        </row>
        <row r="914">
          <cell r="N914" t="str">
            <v>Low</v>
          </cell>
          <cell r="U914">
            <v>62</v>
          </cell>
        </row>
        <row r="915">
          <cell r="N915" t="str">
            <v>Low</v>
          </cell>
          <cell r="U915">
            <v>48</v>
          </cell>
        </row>
        <row r="916">
          <cell r="N916" t="str">
            <v>Low</v>
          </cell>
          <cell r="U916">
            <v>50</v>
          </cell>
        </row>
        <row r="917">
          <cell r="N917" t="str">
            <v>Low</v>
          </cell>
          <cell r="U917">
            <v>80</v>
          </cell>
        </row>
        <row r="918">
          <cell r="N918" t="str">
            <v>Low</v>
          </cell>
          <cell r="U918">
            <v>165</v>
          </cell>
        </row>
        <row r="919">
          <cell r="N919" t="str">
            <v>Low</v>
          </cell>
          <cell r="U919">
            <v>160</v>
          </cell>
        </row>
        <row r="920">
          <cell r="N920" t="str">
            <v>Low</v>
          </cell>
          <cell r="U920">
            <v>112</v>
          </cell>
        </row>
        <row r="921">
          <cell r="N921" t="str">
            <v>Low</v>
          </cell>
          <cell r="U921">
            <v>97</v>
          </cell>
        </row>
        <row r="922">
          <cell r="N922" t="str">
            <v>Low</v>
          </cell>
          <cell r="U922">
            <v>72</v>
          </cell>
        </row>
        <row r="923">
          <cell r="N923" t="str">
            <v>Low</v>
          </cell>
          <cell r="U923">
            <v>51</v>
          </cell>
        </row>
        <row r="924">
          <cell r="N924" t="str">
            <v>Low</v>
          </cell>
          <cell r="U924">
            <v>34</v>
          </cell>
        </row>
        <row r="925">
          <cell r="N925" t="str">
            <v>Low</v>
          </cell>
          <cell r="U925">
            <v>14</v>
          </cell>
        </row>
        <row r="926">
          <cell r="N926" t="str">
            <v>Low</v>
          </cell>
          <cell r="U926">
            <v>7</v>
          </cell>
        </row>
        <row r="927">
          <cell r="N927" t="str">
            <v>Low</v>
          </cell>
          <cell r="U927">
            <v>3</v>
          </cell>
        </row>
        <row r="928">
          <cell r="N928" t="str">
            <v>Low</v>
          </cell>
          <cell r="U928">
            <v>4</v>
          </cell>
        </row>
        <row r="929">
          <cell r="N929" t="str">
            <v>Low</v>
          </cell>
          <cell r="U929">
            <v>24</v>
          </cell>
        </row>
        <row r="930">
          <cell r="N930" t="str">
            <v>Low</v>
          </cell>
          <cell r="U930">
            <v>74</v>
          </cell>
        </row>
        <row r="931">
          <cell r="N931" t="str">
            <v>Low</v>
          </cell>
          <cell r="U931">
            <v>216</v>
          </cell>
        </row>
        <row r="932">
          <cell r="N932" t="str">
            <v>Low</v>
          </cell>
          <cell r="U932">
            <v>140</v>
          </cell>
        </row>
        <row r="933">
          <cell r="N933" t="str">
            <v>Low</v>
          </cell>
          <cell r="U933">
            <v>44</v>
          </cell>
        </row>
        <row r="934">
          <cell r="N934" t="str">
            <v>Low</v>
          </cell>
          <cell r="U934">
            <v>64</v>
          </cell>
        </row>
        <row r="935">
          <cell r="N935" t="str">
            <v>Low</v>
          </cell>
          <cell r="U935">
            <v>71</v>
          </cell>
        </row>
        <row r="936">
          <cell r="N936" t="str">
            <v>Low</v>
          </cell>
          <cell r="U936">
            <v>110</v>
          </cell>
        </row>
        <row r="937">
          <cell r="N937" t="str">
            <v>Low</v>
          </cell>
          <cell r="U937">
            <v>84</v>
          </cell>
        </row>
        <row r="938">
          <cell r="N938" t="str">
            <v>Medium</v>
          </cell>
          <cell r="U938">
            <v>74</v>
          </cell>
        </row>
        <row r="939">
          <cell r="N939" t="str">
            <v>Low</v>
          </cell>
          <cell r="U939">
            <v>125</v>
          </cell>
        </row>
        <row r="940">
          <cell r="N940" t="str">
            <v>Medium</v>
          </cell>
          <cell r="U940">
            <v>211</v>
          </cell>
        </row>
        <row r="941">
          <cell r="N941" t="str">
            <v>Medium</v>
          </cell>
          <cell r="U941">
            <v>174</v>
          </cell>
        </row>
        <row r="942">
          <cell r="N942" t="str">
            <v>Medium</v>
          </cell>
          <cell r="U942">
            <v>101</v>
          </cell>
        </row>
        <row r="943">
          <cell r="N943" t="str">
            <v>Low</v>
          </cell>
          <cell r="U943">
            <v>63</v>
          </cell>
        </row>
        <row r="944">
          <cell r="N944" t="str">
            <v>Low</v>
          </cell>
          <cell r="U944">
            <v>47</v>
          </cell>
        </row>
        <row r="945">
          <cell r="N945" t="str">
            <v>Low</v>
          </cell>
          <cell r="U945">
            <v>43</v>
          </cell>
        </row>
        <row r="946">
          <cell r="N946" t="str">
            <v>Low</v>
          </cell>
          <cell r="U946">
            <v>53</v>
          </cell>
        </row>
        <row r="947">
          <cell r="N947" t="str">
            <v>Low</v>
          </cell>
          <cell r="U947">
            <v>30</v>
          </cell>
        </row>
        <row r="948">
          <cell r="N948" t="str">
            <v>Low</v>
          </cell>
          <cell r="U948">
            <v>24</v>
          </cell>
        </row>
        <row r="949">
          <cell r="N949" t="str">
            <v>Low</v>
          </cell>
          <cell r="U949">
            <v>15</v>
          </cell>
        </row>
        <row r="950">
          <cell r="N950" t="str">
            <v>Low</v>
          </cell>
          <cell r="U950">
            <v>10</v>
          </cell>
        </row>
        <row r="951">
          <cell r="N951" t="str">
            <v>Low</v>
          </cell>
          <cell r="U951">
            <v>4</v>
          </cell>
        </row>
        <row r="952">
          <cell r="N952" t="str">
            <v>Low</v>
          </cell>
          <cell r="U952">
            <v>1</v>
          </cell>
        </row>
        <row r="953">
          <cell r="N953" t="str">
            <v>Low</v>
          </cell>
          <cell r="U953">
            <v>2</v>
          </cell>
        </row>
        <row r="954">
          <cell r="N954" t="str">
            <v>Low</v>
          </cell>
          <cell r="U954">
            <v>11</v>
          </cell>
        </row>
        <row r="955">
          <cell r="N955" t="str">
            <v>Low</v>
          </cell>
          <cell r="U955">
            <v>30</v>
          </cell>
        </row>
        <row r="956">
          <cell r="N956" t="str">
            <v>Low</v>
          </cell>
          <cell r="U956">
            <v>43</v>
          </cell>
        </row>
        <row r="957">
          <cell r="N957" t="str">
            <v>Low</v>
          </cell>
          <cell r="U957">
            <v>84</v>
          </cell>
        </row>
        <row r="958">
          <cell r="N958" t="str">
            <v>Low</v>
          </cell>
          <cell r="U958">
            <v>114</v>
          </cell>
        </row>
        <row r="959">
          <cell r="N959" t="str">
            <v>Low</v>
          </cell>
          <cell r="U959">
            <v>120</v>
          </cell>
        </row>
        <row r="960">
          <cell r="N960" t="str">
            <v>Low</v>
          </cell>
          <cell r="U960">
            <v>135</v>
          </cell>
        </row>
        <row r="961">
          <cell r="N961" t="str">
            <v>Medium</v>
          </cell>
          <cell r="U961">
            <v>120</v>
          </cell>
        </row>
        <row r="962">
          <cell r="N962" t="str">
            <v>Medium</v>
          </cell>
          <cell r="U962">
            <v>174</v>
          </cell>
        </row>
        <row r="963">
          <cell r="N963" t="str">
            <v>Medium</v>
          </cell>
          <cell r="U963">
            <v>145</v>
          </cell>
        </row>
        <row r="964">
          <cell r="N964" t="str">
            <v>Low</v>
          </cell>
          <cell r="U964">
            <v>137</v>
          </cell>
        </row>
        <row r="965">
          <cell r="N965" t="str">
            <v>Low</v>
          </cell>
          <cell r="U965">
            <v>64</v>
          </cell>
        </row>
        <row r="966">
          <cell r="N966" t="str">
            <v>Low</v>
          </cell>
          <cell r="U966">
            <v>41</v>
          </cell>
        </row>
        <row r="967">
          <cell r="N967" t="str">
            <v>Low</v>
          </cell>
          <cell r="U967">
            <v>40</v>
          </cell>
        </row>
        <row r="968">
          <cell r="N968" t="str">
            <v>Medium</v>
          </cell>
          <cell r="U968">
            <v>51</v>
          </cell>
        </row>
        <row r="969">
          <cell r="N969" t="str">
            <v>Low</v>
          </cell>
          <cell r="U969">
            <v>45</v>
          </cell>
        </row>
        <row r="970">
          <cell r="N970" t="str">
            <v>Low</v>
          </cell>
          <cell r="U970">
            <v>32</v>
          </cell>
        </row>
        <row r="971">
          <cell r="N971" t="str">
            <v>Low</v>
          </cell>
          <cell r="U971">
            <v>39</v>
          </cell>
        </row>
        <row r="972">
          <cell r="N972" t="str">
            <v>Low</v>
          </cell>
          <cell r="U972">
            <v>24</v>
          </cell>
        </row>
        <row r="973">
          <cell r="N973" t="str">
            <v>Low</v>
          </cell>
          <cell r="U973">
            <v>20</v>
          </cell>
        </row>
        <row r="974">
          <cell r="N974" t="str">
            <v>Low</v>
          </cell>
          <cell r="U974">
            <v>12</v>
          </cell>
        </row>
        <row r="975">
          <cell r="N975" t="str">
            <v>Low</v>
          </cell>
          <cell r="U975">
            <v>2</v>
          </cell>
        </row>
        <row r="976">
          <cell r="N976" t="str">
            <v>Low</v>
          </cell>
          <cell r="U976">
            <v>5</v>
          </cell>
        </row>
        <row r="977">
          <cell r="N977" t="str">
            <v>Low</v>
          </cell>
          <cell r="U977">
            <v>3</v>
          </cell>
        </row>
        <row r="978">
          <cell r="N978" t="str">
            <v>Low</v>
          </cell>
          <cell r="U978">
            <v>12</v>
          </cell>
        </row>
        <row r="979">
          <cell r="N979" t="str">
            <v>Low</v>
          </cell>
          <cell r="U979">
            <v>47</v>
          </cell>
        </row>
        <row r="980">
          <cell r="N980" t="str">
            <v>Low</v>
          </cell>
          <cell r="U980">
            <v>105</v>
          </cell>
        </row>
        <row r="981">
          <cell r="N981" t="str">
            <v>Low</v>
          </cell>
          <cell r="U981">
            <v>112</v>
          </cell>
        </row>
        <row r="982">
          <cell r="N982" t="str">
            <v>Medium</v>
          </cell>
          <cell r="U982">
            <v>152</v>
          </cell>
        </row>
        <row r="983">
          <cell r="N983" t="str">
            <v>Medium</v>
          </cell>
          <cell r="U983">
            <v>154</v>
          </cell>
        </row>
        <row r="984">
          <cell r="N984" t="str">
            <v>Medium</v>
          </cell>
          <cell r="U984">
            <v>161</v>
          </cell>
        </row>
        <row r="985">
          <cell r="N985" t="str">
            <v>Medium</v>
          </cell>
          <cell r="U985">
            <v>162</v>
          </cell>
        </row>
        <row r="986">
          <cell r="N986" t="str">
            <v>Medium</v>
          </cell>
          <cell r="U986">
            <v>134</v>
          </cell>
        </row>
        <row r="987">
          <cell r="N987" t="str">
            <v>Medium</v>
          </cell>
          <cell r="U987">
            <v>125</v>
          </cell>
        </row>
        <row r="988">
          <cell r="N988" t="str">
            <v>Medium</v>
          </cell>
          <cell r="U988">
            <v>95</v>
          </cell>
        </row>
        <row r="989">
          <cell r="N989" t="str">
            <v>Medium</v>
          </cell>
          <cell r="U989">
            <v>61</v>
          </cell>
        </row>
        <row r="990">
          <cell r="N990" t="str">
            <v>Medium</v>
          </cell>
          <cell r="U990">
            <v>47</v>
          </cell>
        </row>
        <row r="991">
          <cell r="N991" t="str">
            <v>Medium</v>
          </cell>
          <cell r="U991">
            <v>51</v>
          </cell>
        </row>
        <row r="992">
          <cell r="N992" t="str">
            <v>Medium</v>
          </cell>
          <cell r="U992">
            <v>36</v>
          </cell>
        </row>
        <row r="993">
          <cell r="N993" t="str">
            <v>Medium</v>
          </cell>
          <cell r="U993">
            <v>30</v>
          </cell>
        </row>
        <row r="994">
          <cell r="N994" t="str">
            <v>Medium</v>
          </cell>
          <cell r="U994">
            <v>11</v>
          </cell>
        </row>
        <row r="995">
          <cell r="N995" t="str">
            <v>Medium</v>
          </cell>
          <cell r="U995">
            <v>7</v>
          </cell>
        </row>
        <row r="996">
          <cell r="N996" t="str">
            <v>Medium</v>
          </cell>
          <cell r="U996">
            <v>2</v>
          </cell>
        </row>
        <row r="997">
          <cell r="N997" t="str">
            <v>Medium</v>
          </cell>
          <cell r="U997">
            <v>2</v>
          </cell>
        </row>
        <row r="998">
          <cell r="N998" t="str">
            <v>Medium</v>
          </cell>
          <cell r="U998">
            <v>2</v>
          </cell>
        </row>
        <row r="999">
          <cell r="N999" t="str">
            <v>Medium</v>
          </cell>
          <cell r="U999">
            <v>3</v>
          </cell>
        </row>
        <row r="1000">
          <cell r="N1000" t="str">
            <v>Medium</v>
          </cell>
          <cell r="U1000">
            <v>26</v>
          </cell>
        </row>
        <row r="1001">
          <cell r="N1001" t="str">
            <v>Medium</v>
          </cell>
          <cell r="U1001">
            <v>98</v>
          </cell>
        </row>
      </sheetData>
      <sheetData sheetId="9"/>
      <sheetData sheetId="10">
        <row r="3">
          <cell r="A3" t="str">
            <v xml:space="preserve">Sum of Total </v>
          </cell>
        </row>
        <row r="11">
          <cell r="A11" t="str">
            <v>Sum of Casual</v>
          </cell>
        </row>
        <row r="14">
          <cell r="A14" t="str">
            <v>Sum of Registered</v>
          </cell>
        </row>
        <row r="18">
          <cell r="A18" t="str">
            <v>Average of Temperature</v>
          </cell>
        </row>
      </sheetData>
      <sheetData sheetId="1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bd76204093adc31a/Desktop/final%20dasbord%5e%5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TAMBE" refreshedDate="46228.59861458333" createdVersion="8" refreshedVersion="8" minRefreshableVersion="3" recordCount="1000" xr:uid="{62F749CE-827C-4A0B-89F5-0449D4490216}">
  <cacheSource type="worksheet">
    <worksheetSource name="Final_dataset" r:id="rId2"/>
  </cacheSource>
  <cacheFields count="21">
    <cacheField name=" Instant" numFmtId="0">
      <sharedItems containsSemiMixedTypes="0" containsString="0" containsNumber="1" containsInteger="1" minValue="1" maxValue="1000"/>
    </cacheField>
    <cacheField name="Date" numFmtId="0">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2011" maxValue="2011" count="1">
        <n v="2011"/>
      </sharedItems>
    </cacheField>
    <cacheField name="Months" numFmtId="0">
      <sharedItems containsSemiMixedTypes="0" containsString="0" containsNumber="1" containsInteger="1" minValue="1" maxValue="2" count="2">
        <n v="1"/>
        <n v="2"/>
      </sharedItems>
    </cacheField>
    <cacheField name="Hours"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acheField>
    <cacheField name="Weekdays 2" numFmtId="0">
      <sharedItems count="7">
        <s v="Sunday"/>
        <s v="Monday"/>
        <s v="Tuesday"/>
        <s v="Wednesday"/>
        <s v="Thursday"/>
        <s v="Friday"/>
        <s v="Saturday"/>
      </sharedItems>
    </cacheField>
    <cacheField name="Weathersit" numFmtId="0">
      <sharedItems containsSemiMixedTypes="0" containsString="0" containsNumber="1" containsInteger="1" minValue="1" maxValue="4"/>
    </cacheField>
    <cacheField name="Weathersit 2" numFmtId="0">
      <sharedItems count="4">
        <s v="Sunny"/>
        <s v="Cloudy"/>
        <s v="Light Rain"/>
        <s v="Heavy Rain"/>
      </sharedItems>
    </cacheField>
    <cacheField name="Temperature" numFmtId="0">
      <sharedItems containsSemiMixedTypes="0" containsString="0" containsNumber="1" minValue="0.02" maxValue="0.46"/>
    </cacheField>
    <cacheField name="Feeling Temperature" numFmtId="0">
      <sharedItems containsSemiMixedTypes="0" containsString="0" containsNumber="1" minValue="0" maxValue="0.45450000000000002"/>
    </cacheField>
    <cacheField name="Temperature Range" numFmtId="0">
      <sharedItems count="2">
        <s v="Low"/>
        <s v="Medium"/>
      </sharedItems>
    </cacheField>
    <cacheField name="Humidity" numFmtId="0">
      <sharedItems containsSemiMixedTypes="0" containsString="0" containsNumber="1" minValue="0.21" maxValue="1"/>
    </cacheField>
    <cacheField name="Humidity Range" numFmtId="0">
      <sharedItems count="3">
        <s v="High"/>
        <s v="Medium"/>
        <s v="Low"/>
      </sharedItems>
    </cacheField>
    <cacheField name="Windspeed" numFmtId="0">
      <sharedItems containsSemiMixedTypes="0" containsString="0" containsNumber="1" minValue="0" maxValue="0.58209999999999995"/>
    </cacheField>
    <cacheField name="Windspeed Range" numFmtId="0">
      <sharedItems count="3">
        <s v="Low"/>
        <s v="Medium"/>
        <s v="High"/>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Total "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s>
  <extLst>
    <ext xmlns:x14="http://schemas.microsoft.com/office/spreadsheetml/2009/9/main" uri="{725AE2AE-9491-48be-B2B4-4EB974FC3084}">
      <x14:pivotCacheDefinition pivotCacheId="1021899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x v="0"/>
    <x v="0"/>
    <x v="0"/>
    <x v="0"/>
    <x v="0"/>
    <n v="6"/>
    <x v="0"/>
    <n v="1"/>
    <x v="0"/>
    <n v="0.24"/>
    <n v="0.28789999999999999"/>
    <x v="0"/>
    <n v="0.81"/>
    <x v="0"/>
    <n v="0"/>
    <x v="0"/>
    <x v="0"/>
    <x v="0"/>
    <x v="0"/>
  </r>
  <r>
    <n v="2"/>
    <d v="2011-01-01T00:00:00"/>
    <x v="0"/>
    <x v="0"/>
    <x v="0"/>
    <x v="1"/>
    <x v="0"/>
    <n v="6"/>
    <x v="0"/>
    <n v="1"/>
    <x v="0"/>
    <n v="0.22"/>
    <n v="0.2727"/>
    <x v="0"/>
    <n v="0.8"/>
    <x v="0"/>
    <n v="0"/>
    <x v="0"/>
    <x v="1"/>
    <x v="1"/>
    <x v="1"/>
  </r>
  <r>
    <n v="3"/>
    <d v="2011-01-01T00:00:00"/>
    <x v="0"/>
    <x v="0"/>
    <x v="0"/>
    <x v="2"/>
    <x v="0"/>
    <n v="6"/>
    <x v="0"/>
    <n v="1"/>
    <x v="0"/>
    <n v="0.22"/>
    <n v="0.2727"/>
    <x v="0"/>
    <n v="0.8"/>
    <x v="0"/>
    <n v="0"/>
    <x v="0"/>
    <x v="2"/>
    <x v="2"/>
    <x v="2"/>
  </r>
  <r>
    <n v="4"/>
    <d v="2011-01-01T00:00:00"/>
    <x v="0"/>
    <x v="0"/>
    <x v="0"/>
    <x v="3"/>
    <x v="0"/>
    <n v="6"/>
    <x v="0"/>
    <n v="1"/>
    <x v="0"/>
    <n v="0.24"/>
    <n v="0.28789999999999999"/>
    <x v="0"/>
    <n v="0.75"/>
    <x v="0"/>
    <n v="0"/>
    <x v="0"/>
    <x v="0"/>
    <x v="3"/>
    <x v="3"/>
  </r>
  <r>
    <n v="5"/>
    <d v="2011-01-01T00:00:00"/>
    <x v="0"/>
    <x v="0"/>
    <x v="0"/>
    <x v="4"/>
    <x v="0"/>
    <n v="6"/>
    <x v="0"/>
    <n v="1"/>
    <x v="0"/>
    <n v="0.24"/>
    <n v="0.28789999999999999"/>
    <x v="0"/>
    <n v="0.75"/>
    <x v="0"/>
    <n v="0"/>
    <x v="0"/>
    <x v="3"/>
    <x v="4"/>
    <x v="4"/>
  </r>
  <r>
    <n v="6"/>
    <d v="2011-01-01T00:00:00"/>
    <x v="0"/>
    <x v="0"/>
    <x v="0"/>
    <x v="5"/>
    <x v="0"/>
    <n v="6"/>
    <x v="0"/>
    <n v="2"/>
    <x v="1"/>
    <n v="0.24"/>
    <n v="0.2576"/>
    <x v="0"/>
    <n v="0.75"/>
    <x v="0"/>
    <n v="8.9599999999999999E-2"/>
    <x v="0"/>
    <x v="3"/>
    <x v="4"/>
    <x v="4"/>
  </r>
  <r>
    <n v="7"/>
    <d v="2011-01-01T00:00:00"/>
    <x v="0"/>
    <x v="0"/>
    <x v="0"/>
    <x v="6"/>
    <x v="0"/>
    <n v="6"/>
    <x v="0"/>
    <n v="1"/>
    <x v="0"/>
    <n v="0.22"/>
    <n v="0.2727"/>
    <x v="0"/>
    <n v="0.8"/>
    <x v="0"/>
    <n v="0"/>
    <x v="0"/>
    <x v="4"/>
    <x v="5"/>
    <x v="5"/>
  </r>
  <r>
    <n v="8"/>
    <d v="2011-01-01T00:00:00"/>
    <x v="0"/>
    <x v="0"/>
    <x v="0"/>
    <x v="7"/>
    <x v="0"/>
    <n v="6"/>
    <x v="0"/>
    <n v="1"/>
    <x v="0"/>
    <n v="0.2"/>
    <n v="0.2576"/>
    <x v="0"/>
    <n v="0.86"/>
    <x v="0"/>
    <n v="0"/>
    <x v="0"/>
    <x v="5"/>
    <x v="6"/>
    <x v="6"/>
  </r>
  <r>
    <n v="9"/>
    <d v="2011-01-01T00:00:00"/>
    <x v="0"/>
    <x v="0"/>
    <x v="0"/>
    <x v="8"/>
    <x v="0"/>
    <n v="6"/>
    <x v="0"/>
    <n v="1"/>
    <x v="0"/>
    <n v="0.24"/>
    <n v="0"/>
    <x v="0"/>
    <n v="0.75"/>
    <x v="0"/>
    <n v="0"/>
    <x v="0"/>
    <x v="5"/>
    <x v="7"/>
    <x v="7"/>
  </r>
  <r>
    <n v="10"/>
    <d v="2011-01-01T00:00:00"/>
    <x v="0"/>
    <x v="0"/>
    <x v="0"/>
    <x v="9"/>
    <x v="0"/>
    <n v="6"/>
    <x v="0"/>
    <n v="1"/>
    <x v="0"/>
    <n v="0.32"/>
    <n v="0.34849999999999998"/>
    <x v="1"/>
    <n v="0.76"/>
    <x v="0"/>
    <n v="0"/>
    <x v="0"/>
    <x v="1"/>
    <x v="8"/>
    <x v="8"/>
  </r>
  <r>
    <n v="11"/>
    <d v="2011-01-01T00:00:00"/>
    <x v="0"/>
    <x v="0"/>
    <x v="0"/>
    <x v="10"/>
    <x v="0"/>
    <n v="6"/>
    <x v="0"/>
    <n v="1"/>
    <x v="0"/>
    <n v="0.38"/>
    <n v="0.39389999999999997"/>
    <x v="1"/>
    <n v="0.76"/>
    <x v="0"/>
    <n v="0.25369999999999998"/>
    <x v="1"/>
    <x v="6"/>
    <x v="9"/>
    <x v="9"/>
  </r>
  <r>
    <n v="12"/>
    <d v="2011-01-01T00:00:00"/>
    <x v="0"/>
    <x v="0"/>
    <x v="0"/>
    <x v="11"/>
    <x v="0"/>
    <n v="6"/>
    <x v="0"/>
    <n v="1"/>
    <x v="0"/>
    <n v="0.36"/>
    <n v="0.33329999999999999"/>
    <x v="1"/>
    <n v="0.81"/>
    <x v="0"/>
    <n v="0.28360000000000002"/>
    <x v="1"/>
    <x v="7"/>
    <x v="10"/>
    <x v="10"/>
  </r>
  <r>
    <n v="13"/>
    <d v="2011-01-01T00:00:00"/>
    <x v="0"/>
    <x v="0"/>
    <x v="0"/>
    <x v="12"/>
    <x v="0"/>
    <n v="6"/>
    <x v="0"/>
    <n v="1"/>
    <x v="0"/>
    <n v="0.42"/>
    <n v="0.42420000000000002"/>
    <x v="1"/>
    <n v="0.77"/>
    <x v="0"/>
    <n v="0.28360000000000002"/>
    <x v="1"/>
    <x v="8"/>
    <x v="11"/>
    <x v="11"/>
  </r>
  <r>
    <n v="14"/>
    <d v="2011-01-01T00:00:00"/>
    <x v="0"/>
    <x v="0"/>
    <x v="0"/>
    <x v="13"/>
    <x v="0"/>
    <n v="6"/>
    <x v="0"/>
    <n v="2"/>
    <x v="1"/>
    <n v="0.46"/>
    <n v="0.45450000000000002"/>
    <x v="1"/>
    <n v="0.72"/>
    <x v="0"/>
    <n v="0.29849999999999999"/>
    <x v="1"/>
    <x v="9"/>
    <x v="12"/>
    <x v="12"/>
  </r>
  <r>
    <n v="15"/>
    <d v="2011-01-01T00:00:00"/>
    <x v="0"/>
    <x v="0"/>
    <x v="0"/>
    <x v="14"/>
    <x v="0"/>
    <n v="6"/>
    <x v="0"/>
    <n v="2"/>
    <x v="1"/>
    <n v="0.46"/>
    <n v="0.45450000000000002"/>
    <x v="1"/>
    <n v="0.72"/>
    <x v="0"/>
    <n v="0.28360000000000002"/>
    <x v="1"/>
    <x v="10"/>
    <x v="13"/>
    <x v="13"/>
  </r>
  <r>
    <n v="16"/>
    <d v="2011-01-01T00:00:00"/>
    <x v="0"/>
    <x v="0"/>
    <x v="0"/>
    <x v="15"/>
    <x v="0"/>
    <n v="6"/>
    <x v="0"/>
    <n v="2"/>
    <x v="1"/>
    <n v="0.44"/>
    <n v="0.43940000000000001"/>
    <x v="1"/>
    <n v="0.77"/>
    <x v="0"/>
    <n v="0.29849999999999999"/>
    <x v="1"/>
    <x v="11"/>
    <x v="14"/>
    <x v="14"/>
  </r>
  <r>
    <n v="17"/>
    <d v="2011-01-01T00:00:00"/>
    <x v="0"/>
    <x v="0"/>
    <x v="0"/>
    <x v="16"/>
    <x v="0"/>
    <n v="6"/>
    <x v="0"/>
    <n v="2"/>
    <x v="1"/>
    <n v="0.42"/>
    <n v="0.42420000000000002"/>
    <x v="1"/>
    <n v="0.82"/>
    <x v="0"/>
    <n v="0.29849999999999999"/>
    <x v="1"/>
    <x v="12"/>
    <x v="15"/>
    <x v="15"/>
  </r>
  <r>
    <n v="18"/>
    <d v="2011-01-01T00:00:00"/>
    <x v="0"/>
    <x v="0"/>
    <x v="0"/>
    <x v="17"/>
    <x v="0"/>
    <n v="6"/>
    <x v="0"/>
    <n v="2"/>
    <x v="1"/>
    <n v="0.44"/>
    <n v="0.42420000000000002"/>
    <x v="1"/>
    <n v="0.82"/>
    <x v="0"/>
    <n v="0.28360000000000002"/>
    <x v="1"/>
    <x v="13"/>
    <x v="15"/>
    <x v="16"/>
  </r>
  <r>
    <n v="19"/>
    <d v="2011-01-01T00:00:00"/>
    <x v="0"/>
    <x v="0"/>
    <x v="0"/>
    <x v="18"/>
    <x v="0"/>
    <n v="6"/>
    <x v="0"/>
    <n v="3"/>
    <x v="2"/>
    <n v="0.42"/>
    <n v="0.42420000000000002"/>
    <x v="1"/>
    <n v="0.88"/>
    <x v="0"/>
    <n v="0.25369999999999998"/>
    <x v="1"/>
    <x v="14"/>
    <x v="16"/>
    <x v="17"/>
  </r>
  <r>
    <n v="20"/>
    <d v="2011-01-01T00:00:00"/>
    <x v="0"/>
    <x v="0"/>
    <x v="0"/>
    <x v="19"/>
    <x v="0"/>
    <n v="6"/>
    <x v="0"/>
    <n v="3"/>
    <x v="2"/>
    <n v="0.42"/>
    <n v="0.42420000000000002"/>
    <x v="1"/>
    <n v="0.88"/>
    <x v="0"/>
    <n v="0.25369999999999998"/>
    <x v="1"/>
    <x v="15"/>
    <x v="17"/>
    <x v="18"/>
  </r>
  <r>
    <n v="21"/>
    <d v="2011-01-01T00:00:00"/>
    <x v="0"/>
    <x v="0"/>
    <x v="0"/>
    <x v="20"/>
    <x v="0"/>
    <n v="6"/>
    <x v="0"/>
    <n v="2"/>
    <x v="1"/>
    <n v="0.4"/>
    <n v="0.40910000000000002"/>
    <x v="1"/>
    <n v="0.87"/>
    <x v="0"/>
    <n v="0.25369999999999998"/>
    <x v="1"/>
    <x v="16"/>
    <x v="18"/>
    <x v="9"/>
  </r>
  <r>
    <n v="22"/>
    <d v="2011-01-01T00:00:00"/>
    <x v="0"/>
    <x v="0"/>
    <x v="0"/>
    <x v="21"/>
    <x v="0"/>
    <n v="6"/>
    <x v="0"/>
    <n v="2"/>
    <x v="1"/>
    <n v="0.4"/>
    <n v="0.40910000000000002"/>
    <x v="1"/>
    <n v="0.87"/>
    <x v="0"/>
    <n v="0.19400000000000001"/>
    <x v="0"/>
    <x v="0"/>
    <x v="17"/>
    <x v="19"/>
  </r>
  <r>
    <n v="23"/>
    <d v="2011-01-01T00:00:00"/>
    <x v="0"/>
    <x v="0"/>
    <x v="0"/>
    <x v="22"/>
    <x v="0"/>
    <n v="6"/>
    <x v="0"/>
    <n v="2"/>
    <x v="1"/>
    <n v="0.4"/>
    <n v="0.40910000000000002"/>
    <x v="1"/>
    <n v="0.94"/>
    <x v="0"/>
    <n v="0.22389999999999999"/>
    <x v="1"/>
    <x v="16"/>
    <x v="19"/>
    <x v="20"/>
  </r>
  <r>
    <n v="24"/>
    <d v="2011-01-01T00:00:00"/>
    <x v="0"/>
    <x v="0"/>
    <x v="0"/>
    <x v="23"/>
    <x v="0"/>
    <n v="6"/>
    <x v="0"/>
    <n v="2"/>
    <x v="1"/>
    <n v="0.46"/>
    <n v="0.40910000000000002"/>
    <x v="1"/>
    <n v="0.88"/>
    <x v="0"/>
    <n v="0.29849999999999999"/>
    <x v="1"/>
    <x v="13"/>
    <x v="9"/>
    <x v="21"/>
  </r>
  <r>
    <n v="25"/>
    <d v="2011-01-02T00:00:00"/>
    <x v="0"/>
    <x v="0"/>
    <x v="0"/>
    <x v="0"/>
    <x v="0"/>
    <n v="0"/>
    <x v="1"/>
    <n v="2"/>
    <x v="1"/>
    <n v="0.46"/>
    <n v="0.45450000000000002"/>
    <x v="1"/>
    <n v="0.88"/>
    <x v="0"/>
    <n v="0.29849999999999999"/>
    <x v="1"/>
    <x v="17"/>
    <x v="0"/>
    <x v="22"/>
  </r>
  <r>
    <n v="26"/>
    <d v="2011-01-02T00:00:00"/>
    <x v="0"/>
    <x v="0"/>
    <x v="0"/>
    <x v="1"/>
    <x v="0"/>
    <n v="0"/>
    <x v="1"/>
    <n v="2"/>
    <x v="1"/>
    <n v="0.44"/>
    <n v="0.43940000000000001"/>
    <x v="1"/>
    <n v="0.94"/>
    <x v="0"/>
    <n v="0.25369999999999998"/>
    <x v="1"/>
    <x v="5"/>
    <x v="20"/>
    <x v="22"/>
  </r>
  <r>
    <n v="27"/>
    <d v="2011-01-02T00:00:00"/>
    <x v="0"/>
    <x v="0"/>
    <x v="0"/>
    <x v="2"/>
    <x v="0"/>
    <n v="0"/>
    <x v="1"/>
    <n v="2"/>
    <x v="1"/>
    <n v="0.42"/>
    <n v="0.42420000000000002"/>
    <x v="1"/>
    <n v="1"/>
    <x v="0"/>
    <n v="0.28360000000000002"/>
    <x v="1"/>
    <x v="5"/>
    <x v="21"/>
    <x v="23"/>
  </r>
  <r>
    <n v="28"/>
    <d v="2011-01-02T00:00:00"/>
    <x v="0"/>
    <x v="0"/>
    <x v="0"/>
    <x v="3"/>
    <x v="0"/>
    <n v="0"/>
    <x v="1"/>
    <n v="2"/>
    <x v="1"/>
    <n v="0.46"/>
    <n v="0.45450000000000002"/>
    <x v="1"/>
    <n v="0.94"/>
    <x v="0"/>
    <n v="0.19400000000000001"/>
    <x v="0"/>
    <x v="4"/>
    <x v="22"/>
    <x v="24"/>
  </r>
  <r>
    <n v="29"/>
    <d v="2011-01-02T00:00:00"/>
    <x v="0"/>
    <x v="0"/>
    <x v="0"/>
    <x v="4"/>
    <x v="0"/>
    <n v="0"/>
    <x v="1"/>
    <n v="2"/>
    <x v="1"/>
    <n v="0.46"/>
    <n v="0.45450000000000002"/>
    <x v="1"/>
    <n v="0.94"/>
    <x v="0"/>
    <n v="0.19400000000000001"/>
    <x v="0"/>
    <x v="4"/>
    <x v="4"/>
    <x v="6"/>
  </r>
  <r>
    <n v="30"/>
    <d v="2011-01-02T00:00:00"/>
    <x v="0"/>
    <x v="0"/>
    <x v="0"/>
    <x v="6"/>
    <x v="0"/>
    <n v="0"/>
    <x v="1"/>
    <n v="3"/>
    <x v="2"/>
    <n v="0.42"/>
    <n v="0.42420000000000002"/>
    <x v="1"/>
    <n v="0.77"/>
    <x v="0"/>
    <n v="0.29849999999999999"/>
    <x v="1"/>
    <x v="3"/>
    <x v="6"/>
    <x v="5"/>
  </r>
  <r>
    <n v="31"/>
    <d v="2011-01-02T00:00:00"/>
    <x v="0"/>
    <x v="0"/>
    <x v="0"/>
    <x v="7"/>
    <x v="0"/>
    <n v="0"/>
    <x v="1"/>
    <n v="2"/>
    <x v="1"/>
    <n v="0.4"/>
    <n v="0.40910000000000002"/>
    <x v="1"/>
    <n v="0.76"/>
    <x v="0"/>
    <n v="0.19400000000000001"/>
    <x v="0"/>
    <x v="3"/>
    <x v="4"/>
    <x v="4"/>
  </r>
  <r>
    <n v="32"/>
    <d v="2011-01-02T00:00:00"/>
    <x v="0"/>
    <x v="0"/>
    <x v="0"/>
    <x v="8"/>
    <x v="0"/>
    <n v="0"/>
    <x v="1"/>
    <n v="3"/>
    <x v="2"/>
    <n v="0.4"/>
    <n v="0.40910000000000002"/>
    <x v="1"/>
    <n v="0.71"/>
    <x v="0"/>
    <n v="0.22389999999999999"/>
    <x v="1"/>
    <x v="3"/>
    <x v="21"/>
    <x v="7"/>
  </r>
  <r>
    <n v="33"/>
    <d v="2011-01-02T00:00:00"/>
    <x v="0"/>
    <x v="0"/>
    <x v="0"/>
    <x v="9"/>
    <x v="0"/>
    <n v="0"/>
    <x v="1"/>
    <n v="2"/>
    <x v="1"/>
    <n v="0.38"/>
    <n v="0.40910000000000002"/>
    <x v="1"/>
    <n v="0.76"/>
    <x v="0"/>
    <n v="0.22389999999999999"/>
    <x v="1"/>
    <x v="5"/>
    <x v="23"/>
    <x v="25"/>
  </r>
  <r>
    <n v="34"/>
    <d v="2011-01-02T00:00:00"/>
    <x v="0"/>
    <x v="0"/>
    <x v="0"/>
    <x v="10"/>
    <x v="0"/>
    <n v="0"/>
    <x v="1"/>
    <n v="2"/>
    <x v="1"/>
    <n v="0.36"/>
    <n v="0.34849999999999998"/>
    <x v="1"/>
    <n v="0.81"/>
    <x v="0"/>
    <n v="0.22389999999999999"/>
    <x v="1"/>
    <x v="18"/>
    <x v="24"/>
    <x v="26"/>
  </r>
  <r>
    <n v="35"/>
    <d v="2011-01-02T00:00:00"/>
    <x v="0"/>
    <x v="0"/>
    <x v="0"/>
    <x v="11"/>
    <x v="0"/>
    <n v="0"/>
    <x v="1"/>
    <n v="2"/>
    <x v="1"/>
    <n v="0.36"/>
    <n v="0.33329999999999999"/>
    <x v="1"/>
    <n v="0.71"/>
    <x v="0"/>
    <n v="0.25369999999999998"/>
    <x v="1"/>
    <x v="19"/>
    <x v="25"/>
    <x v="27"/>
  </r>
  <r>
    <n v="36"/>
    <d v="2011-01-02T00:00:00"/>
    <x v="0"/>
    <x v="0"/>
    <x v="0"/>
    <x v="12"/>
    <x v="0"/>
    <n v="0"/>
    <x v="1"/>
    <n v="2"/>
    <x v="1"/>
    <n v="0.36"/>
    <n v="0.33329999999999999"/>
    <x v="1"/>
    <n v="0.66"/>
    <x v="1"/>
    <n v="0.29849999999999999"/>
    <x v="1"/>
    <x v="20"/>
    <x v="26"/>
    <x v="15"/>
  </r>
  <r>
    <n v="37"/>
    <d v="2011-01-02T00:00:00"/>
    <x v="0"/>
    <x v="0"/>
    <x v="0"/>
    <x v="13"/>
    <x v="0"/>
    <n v="0"/>
    <x v="1"/>
    <n v="2"/>
    <x v="1"/>
    <n v="0.36"/>
    <n v="0.34849999999999998"/>
    <x v="1"/>
    <n v="0.66"/>
    <x v="1"/>
    <n v="0.1343"/>
    <x v="0"/>
    <x v="16"/>
    <x v="27"/>
    <x v="28"/>
  </r>
  <r>
    <n v="38"/>
    <d v="2011-01-02T00:00:00"/>
    <x v="0"/>
    <x v="0"/>
    <x v="0"/>
    <x v="14"/>
    <x v="0"/>
    <n v="0"/>
    <x v="1"/>
    <n v="3"/>
    <x v="2"/>
    <n v="0.36"/>
    <n v="0.34849999999999998"/>
    <x v="1"/>
    <n v="0.76"/>
    <x v="0"/>
    <n v="0.19400000000000001"/>
    <x v="0"/>
    <x v="17"/>
    <x v="11"/>
    <x v="29"/>
  </r>
  <r>
    <n v="39"/>
    <d v="2011-01-02T00:00:00"/>
    <x v="0"/>
    <x v="0"/>
    <x v="0"/>
    <x v="15"/>
    <x v="0"/>
    <n v="0"/>
    <x v="1"/>
    <n v="3"/>
    <x v="2"/>
    <n v="0.34"/>
    <n v="0.33329999999999999"/>
    <x v="1"/>
    <n v="0.81"/>
    <x v="0"/>
    <n v="0.16420000000000001"/>
    <x v="0"/>
    <x v="21"/>
    <x v="11"/>
    <x v="30"/>
  </r>
  <r>
    <n v="40"/>
    <d v="2011-01-02T00:00:00"/>
    <x v="0"/>
    <x v="0"/>
    <x v="0"/>
    <x v="16"/>
    <x v="0"/>
    <n v="0"/>
    <x v="1"/>
    <n v="3"/>
    <x v="2"/>
    <n v="0.34"/>
    <n v="0.33329999999999999"/>
    <x v="1"/>
    <n v="0.71"/>
    <x v="0"/>
    <n v="0.16420000000000001"/>
    <x v="0"/>
    <x v="14"/>
    <x v="28"/>
    <x v="31"/>
  </r>
  <r>
    <n v="41"/>
    <d v="2011-01-02T00:00:00"/>
    <x v="0"/>
    <x v="0"/>
    <x v="0"/>
    <x v="17"/>
    <x v="0"/>
    <n v="0"/>
    <x v="1"/>
    <n v="1"/>
    <x v="0"/>
    <n v="0.34"/>
    <n v="0.33329999999999999"/>
    <x v="1"/>
    <n v="0.56999999999999995"/>
    <x v="1"/>
    <n v="0.19400000000000001"/>
    <x v="0"/>
    <x v="18"/>
    <x v="29"/>
    <x v="32"/>
  </r>
  <r>
    <n v="42"/>
    <d v="2011-01-02T00:00:00"/>
    <x v="0"/>
    <x v="0"/>
    <x v="0"/>
    <x v="18"/>
    <x v="0"/>
    <n v="0"/>
    <x v="1"/>
    <n v="2"/>
    <x v="1"/>
    <n v="0.36"/>
    <n v="0.33329999999999999"/>
    <x v="1"/>
    <n v="0.46"/>
    <x v="1"/>
    <n v="0.32840000000000003"/>
    <x v="1"/>
    <x v="22"/>
    <x v="30"/>
    <x v="26"/>
  </r>
  <r>
    <n v="43"/>
    <d v="2011-01-02T00:00:00"/>
    <x v="0"/>
    <x v="0"/>
    <x v="0"/>
    <x v="19"/>
    <x v="0"/>
    <n v="0"/>
    <x v="1"/>
    <n v="1"/>
    <x v="0"/>
    <n v="0.32"/>
    <n v="0.28789999999999999"/>
    <x v="0"/>
    <n v="0.42"/>
    <x v="1"/>
    <n v="0.44779999999999998"/>
    <x v="1"/>
    <x v="5"/>
    <x v="31"/>
    <x v="33"/>
  </r>
  <r>
    <n v="44"/>
    <d v="2011-01-02T00:00:00"/>
    <x v="0"/>
    <x v="0"/>
    <x v="0"/>
    <x v="20"/>
    <x v="0"/>
    <n v="0"/>
    <x v="1"/>
    <n v="1"/>
    <x v="0"/>
    <n v="0.3"/>
    <n v="0.28789999999999999"/>
    <x v="0"/>
    <n v="0.39"/>
    <x v="2"/>
    <n v="0.35820000000000002"/>
    <x v="1"/>
    <x v="2"/>
    <x v="19"/>
    <x v="34"/>
  </r>
  <r>
    <n v="45"/>
    <d v="2011-01-02T00:00:00"/>
    <x v="0"/>
    <x v="0"/>
    <x v="0"/>
    <x v="21"/>
    <x v="0"/>
    <n v="0"/>
    <x v="1"/>
    <n v="1"/>
    <x v="0"/>
    <n v="0.26"/>
    <n v="0.2273"/>
    <x v="0"/>
    <n v="0.44"/>
    <x v="1"/>
    <n v="0.32840000000000003"/>
    <x v="1"/>
    <x v="16"/>
    <x v="32"/>
    <x v="35"/>
  </r>
  <r>
    <n v="46"/>
    <d v="2011-01-02T00:00:00"/>
    <x v="0"/>
    <x v="0"/>
    <x v="0"/>
    <x v="22"/>
    <x v="0"/>
    <n v="0"/>
    <x v="1"/>
    <n v="1"/>
    <x v="0"/>
    <n v="0.24"/>
    <n v="0.21210000000000001"/>
    <x v="0"/>
    <n v="0.44"/>
    <x v="1"/>
    <n v="0.29849999999999999"/>
    <x v="1"/>
    <x v="3"/>
    <x v="33"/>
    <x v="23"/>
  </r>
  <r>
    <n v="47"/>
    <d v="2011-01-02T00:00:00"/>
    <x v="0"/>
    <x v="0"/>
    <x v="0"/>
    <x v="23"/>
    <x v="0"/>
    <n v="0"/>
    <x v="1"/>
    <n v="1"/>
    <x v="0"/>
    <n v="0.22"/>
    <n v="0.2273"/>
    <x v="0"/>
    <n v="0.47"/>
    <x v="1"/>
    <n v="0.16420000000000001"/>
    <x v="0"/>
    <x v="3"/>
    <x v="21"/>
    <x v="7"/>
  </r>
  <r>
    <n v="48"/>
    <d v="2011-01-03T00:00:00"/>
    <x v="0"/>
    <x v="0"/>
    <x v="0"/>
    <x v="0"/>
    <x v="0"/>
    <n v="1"/>
    <x v="2"/>
    <n v="1"/>
    <x v="0"/>
    <n v="0.22"/>
    <n v="0.19700000000000001"/>
    <x v="0"/>
    <n v="0.44"/>
    <x v="1"/>
    <n v="0.35820000000000002"/>
    <x v="1"/>
    <x v="3"/>
    <x v="34"/>
    <x v="36"/>
  </r>
  <r>
    <n v="49"/>
    <d v="2011-01-03T00:00:00"/>
    <x v="0"/>
    <x v="0"/>
    <x v="0"/>
    <x v="1"/>
    <x v="0"/>
    <n v="1"/>
    <x v="2"/>
    <n v="1"/>
    <x v="0"/>
    <n v="0.2"/>
    <n v="0.19700000000000001"/>
    <x v="0"/>
    <n v="0.44"/>
    <x v="1"/>
    <n v="0.41789999999999999"/>
    <x v="1"/>
    <x v="3"/>
    <x v="6"/>
    <x v="5"/>
  </r>
  <r>
    <n v="50"/>
    <d v="2011-01-03T00:00:00"/>
    <x v="0"/>
    <x v="0"/>
    <x v="0"/>
    <x v="4"/>
    <x v="0"/>
    <n v="1"/>
    <x v="2"/>
    <n v="1"/>
    <x v="0"/>
    <n v="0.16"/>
    <n v="0.13639999999999999"/>
    <x v="0"/>
    <n v="0.47"/>
    <x v="1"/>
    <n v="0.3881"/>
    <x v="1"/>
    <x v="3"/>
    <x v="4"/>
    <x v="4"/>
  </r>
  <r>
    <n v="51"/>
    <d v="2011-01-03T00:00:00"/>
    <x v="0"/>
    <x v="0"/>
    <x v="0"/>
    <x v="5"/>
    <x v="0"/>
    <n v="1"/>
    <x v="2"/>
    <n v="1"/>
    <x v="0"/>
    <n v="0.16"/>
    <n v="0.13639999999999999"/>
    <x v="0"/>
    <n v="0.47"/>
    <x v="1"/>
    <n v="0.28360000000000002"/>
    <x v="1"/>
    <x v="3"/>
    <x v="35"/>
    <x v="6"/>
  </r>
  <r>
    <n v="52"/>
    <d v="2011-01-03T00:00:00"/>
    <x v="0"/>
    <x v="0"/>
    <x v="0"/>
    <x v="6"/>
    <x v="0"/>
    <n v="1"/>
    <x v="2"/>
    <n v="1"/>
    <x v="0"/>
    <n v="0.14000000000000001"/>
    <n v="0.1061"/>
    <x v="0"/>
    <n v="0.5"/>
    <x v="1"/>
    <n v="0.3881"/>
    <x v="1"/>
    <x v="3"/>
    <x v="10"/>
    <x v="33"/>
  </r>
  <r>
    <n v="53"/>
    <d v="2011-01-03T00:00:00"/>
    <x v="0"/>
    <x v="0"/>
    <x v="0"/>
    <x v="7"/>
    <x v="0"/>
    <n v="1"/>
    <x v="2"/>
    <n v="1"/>
    <x v="0"/>
    <n v="0.14000000000000001"/>
    <n v="0.13639999999999999"/>
    <x v="0"/>
    <n v="0.5"/>
    <x v="1"/>
    <n v="0.19400000000000001"/>
    <x v="0"/>
    <x v="5"/>
    <x v="36"/>
    <x v="37"/>
  </r>
  <r>
    <n v="54"/>
    <d v="2011-01-03T00:00:00"/>
    <x v="0"/>
    <x v="0"/>
    <x v="0"/>
    <x v="8"/>
    <x v="0"/>
    <n v="1"/>
    <x v="2"/>
    <n v="1"/>
    <x v="0"/>
    <n v="0.14000000000000001"/>
    <n v="0.1212"/>
    <x v="0"/>
    <n v="0.5"/>
    <x v="1"/>
    <n v="0.28360000000000002"/>
    <x v="1"/>
    <x v="5"/>
    <x v="37"/>
    <x v="38"/>
  </r>
  <r>
    <n v="55"/>
    <d v="2011-01-03T00:00:00"/>
    <x v="0"/>
    <x v="0"/>
    <x v="0"/>
    <x v="9"/>
    <x v="0"/>
    <n v="1"/>
    <x v="2"/>
    <n v="1"/>
    <x v="0"/>
    <n v="0.16"/>
    <n v="0.13639999999999999"/>
    <x v="0"/>
    <n v="0.43"/>
    <x v="1"/>
    <n v="0.3881"/>
    <x v="1"/>
    <x v="18"/>
    <x v="38"/>
    <x v="39"/>
  </r>
  <r>
    <n v="56"/>
    <d v="2011-01-03T00:00:00"/>
    <x v="0"/>
    <x v="0"/>
    <x v="0"/>
    <x v="10"/>
    <x v="0"/>
    <n v="1"/>
    <x v="2"/>
    <n v="1"/>
    <x v="0"/>
    <n v="0.18"/>
    <n v="0.16669999999999999"/>
    <x v="0"/>
    <n v="0.43"/>
    <x v="1"/>
    <n v="0.25369999999999998"/>
    <x v="1"/>
    <x v="16"/>
    <x v="39"/>
    <x v="40"/>
  </r>
  <r>
    <n v="57"/>
    <d v="2011-01-03T00:00:00"/>
    <x v="0"/>
    <x v="0"/>
    <x v="0"/>
    <x v="11"/>
    <x v="0"/>
    <n v="1"/>
    <x v="2"/>
    <n v="1"/>
    <x v="0"/>
    <n v="0.2"/>
    <n v="0.18179999999999999"/>
    <x v="0"/>
    <n v="0.4"/>
    <x v="1"/>
    <n v="0.32840000000000003"/>
    <x v="1"/>
    <x v="22"/>
    <x v="40"/>
    <x v="41"/>
  </r>
  <r>
    <n v="58"/>
    <d v="2011-01-03T00:00:00"/>
    <x v="0"/>
    <x v="0"/>
    <x v="0"/>
    <x v="12"/>
    <x v="0"/>
    <n v="1"/>
    <x v="2"/>
    <n v="1"/>
    <x v="0"/>
    <n v="0.22"/>
    <n v="0.21210000000000001"/>
    <x v="0"/>
    <n v="0.35"/>
    <x v="2"/>
    <n v="0.29849999999999999"/>
    <x v="1"/>
    <x v="23"/>
    <x v="41"/>
    <x v="42"/>
  </r>
  <r>
    <n v="59"/>
    <d v="2011-01-03T00:00:00"/>
    <x v="0"/>
    <x v="0"/>
    <x v="0"/>
    <x v="13"/>
    <x v="0"/>
    <n v="1"/>
    <x v="2"/>
    <n v="1"/>
    <x v="0"/>
    <n v="0.24"/>
    <n v="0.21210000000000001"/>
    <x v="0"/>
    <n v="0.35"/>
    <x v="2"/>
    <n v="0.28360000000000002"/>
    <x v="1"/>
    <x v="1"/>
    <x v="42"/>
    <x v="42"/>
  </r>
  <r>
    <n v="60"/>
    <d v="2011-01-03T00:00:00"/>
    <x v="0"/>
    <x v="0"/>
    <x v="0"/>
    <x v="14"/>
    <x v="0"/>
    <n v="1"/>
    <x v="2"/>
    <n v="1"/>
    <x v="0"/>
    <n v="0.26"/>
    <n v="0.2424"/>
    <x v="0"/>
    <n v="0.3"/>
    <x v="2"/>
    <n v="0.28360000000000002"/>
    <x v="1"/>
    <x v="16"/>
    <x v="43"/>
    <x v="43"/>
  </r>
  <r>
    <n v="61"/>
    <d v="2011-01-03T00:00:00"/>
    <x v="0"/>
    <x v="0"/>
    <x v="0"/>
    <x v="15"/>
    <x v="0"/>
    <n v="1"/>
    <x v="2"/>
    <n v="1"/>
    <x v="0"/>
    <n v="0.26"/>
    <n v="0.2424"/>
    <x v="0"/>
    <n v="0.3"/>
    <x v="2"/>
    <n v="0.25369999999999998"/>
    <x v="1"/>
    <x v="24"/>
    <x v="29"/>
    <x v="44"/>
  </r>
  <r>
    <n v="62"/>
    <d v="2011-01-03T00:00:00"/>
    <x v="0"/>
    <x v="0"/>
    <x v="0"/>
    <x v="16"/>
    <x v="0"/>
    <n v="1"/>
    <x v="2"/>
    <n v="1"/>
    <x v="0"/>
    <n v="0.26"/>
    <n v="0.2424"/>
    <x v="0"/>
    <n v="0.3"/>
    <x v="2"/>
    <n v="0.25369999999999998"/>
    <x v="1"/>
    <x v="14"/>
    <x v="28"/>
    <x v="31"/>
  </r>
  <r>
    <n v="63"/>
    <d v="2011-01-03T00:00:00"/>
    <x v="0"/>
    <x v="0"/>
    <x v="0"/>
    <x v="17"/>
    <x v="0"/>
    <n v="1"/>
    <x v="2"/>
    <n v="1"/>
    <x v="0"/>
    <n v="0.24"/>
    <n v="0.2273"/>
    <x v="0"/>
    <n v="0.3"/>
    <x v="2"/>
    <n v="0.22389999999999999"/>
    <x v="1"/>
    <x v="16"/>
    <x v="44"/>
    <x v="45"/>
  </r>
  <r>
    <n v="64"/>
    <d v="2011-01-03T00:00:00"/>
    <x v="0"/>
    <x v="0"/>
    <x v="0"/>
    <x v="18"/>
    <x v="0"/>
    <n v="1"/>
    <x v="2"/>
    <n v="1"/>
    <x v="0"/>
    <n v="0.24"/>
    <n v="0.2576"/>
    <x v="0"/>
    <n v="0.32"/>
    <x v="2"/>
    <n v="0.1045"/>
    <x v="0"/>
    <x v="14"/>
    <x v="45"/>
    <x v="45"/>
  </r>
  <r>
    <n v="65"/>
    <d v="2011-01-03T00:00:00"/>
    <x v="0"/>
    <x v="0"/>
    <x v="0"/>
    <x v="19"/>
    <x v="0"/>
    <n v="1"/>
    <x v="2"/>
    <n v="1"/>
    <x v="0"/>
    <n v="0.2"/>
    <n v="0.2576"/>
    <x v="0"/>
    <n v="0.47"/>
    <x v="1"/>
    <n v="0"/>
    <x v="0"/>
    <x v="1"/>
    <x v="46"/>
    <x v="14"/>
  </r>
  <r>
    <n v="66"/>
    <d v="2011-01-03T00:00:00"/>
    <x v="0"/>
    <x v="0"/>
    <x v="0"/>
    <x v="20"/>
    <x v="0"/>
    <n v="1"/>
    <x v="2"/>
    <n v="1"/>
    <x v="0"/>
    <n v="0.2"/>
    <n v="0.2576"/>
    <x v="0"/>
    <n v="0.47"/>
    <x v="1"/>
    <n v="0.1045"/>
    <x v="0"/>
    <x v="0"/>
    <x v="47"/>
    <x v="46"/>
  </r>
  <r>
    <n v="67"/>
    <d v="2011-01-03T00:00:00"/>
    <x v="0"/>
    <x v="0"/>
    <x v="0"/>
    <x v="21"/>
    <x v="0"/>
    <n v="1"/>
    <x v="2"/>
    <n v="1"/>
    <x v="0"/>
    <n v="0.18"/>
    <n v="0.19700000000000001"/>
    <x v="0"/>
    <n v="0.64"/>
    <x v="1"/>
    <n v="0.1343"/>
    <x v="0"/>
    <x v="0"/>
    <x v="47"/>
    <x v="46"/>
  </r>
  <r>
    <n v="68"/>
    <d v="2011-01-03T00:00:00"/>
    <x v="0"/>
    <x v="0"/>
    <x v="0"/>
    <x v="22"/>
    <x v="0"/>
    <n v="1"/>
    <x v="2"/>
    <n v="1"/>
    <x v="0"/>
    <n v="0.14000000000000001"/>
    <n v="0.1515"/>
    <x v="0"/>
    <n v="0.69"/>
    <x v="1"/>
    <n v="0.1343"/>
    <x v="0"/>
    <x v="3"/>
    <x v="32"/>
    <x v="25"/>
  </r>
  <r>
    <n v="69"/>
    <d v="2011-01-03T00:00:00"/>
    <x v="0"/>
    <x v="0"/>
    <x v="0"/>
    <x v="23"/>
    <x v="0"/>
    <n v="1"/>
    <x v="2"/>
    <n v="1"/>
    <x v="0"/>
    <n v="0.18"/>
    <n v="0.21210000000000001"/>
    <x v="0"/>
    <n v="0.55000000000000004"/>
    <x v="1"/>
    <n v="0.1045"/>
    <x v="0"/>
    <x v="5"/>
    <x v="48"/>
    <x v="47"/>
  </r>
  <r>
    <n v="70"/>
    <d v="2011-01-04T00:00:00"/>
    <x v="0"/>
    <x v="0"/>
    <x v="0"/>
    <x v="0"/>
    <x v="0"/>
    <n v="2"/>
    <x v="3"/>
    <n v="1"/>
    <x v="0"/>
    <n v="0.16"/>
    <n v="0.21210000000000001"/>
    <x v="0"/>
    <n v="0.55000000000000004"/>
    <x v="1"/>
    <n v="0.1045"/>
    <x v="0"/>
    <x v="3"/>
    <x v="34"/>
    <x v="36"/>
  </r>
  <r>
    <n v="71"/>
    <d v="2011-01-04T00:00:00"/>
    <x v="0"/>
    <x v="0"/>
    <x v="0"/>
    <x v="1"/>
    <x v="0"/>
    <n v="2"/>
    <x v="3"/>
    <n v="1"/>
    <x v="0"/>
    <n v="0.16"/>
    <n v="0.18179999999999999"/>
    <x v="0"/>
    <n v="0.59"/>
    <x v="1"/>
    <n v="0.1045"/>
    <x v="0"/>
    <x v="3"/>
    <x v="6"/>
    <x v="5"/>
  </r>
  <r>
    <n v="72"/>
    <d v="2011-01-04T00:00:00"/>
    <x v="0"/>
    <x v="0"/>
    <x v="0"/>
    <x v="2"/>
    <x v="0"/>
    <n v="2"/>
    <x v="3"/>
    <n v="1"/>
    <x v="0"/>
    <n v="0.14000000000000001"/>
    <n v="0.1515"/>
    <x v="0"/>
    <n v="0.63"/>
    <x v="1"/>
    <n v="0.1343"/>
    <x v="0"/>
    <x v="3"/>
    <x v="4"/>
    <x v="4"/>
  </r>
  <r>
    <n v="73"/>
    <d v="2011-01-04T00:00:00"/>
    <x v="0"/>
    <x v="0"/>
    <x v="0"/>
    <x v="4"/>
    <x v="0"/>
    <n v="2"/>
    <x v="3"/>
    <n v="1"/>
    <x v="0"/>
    <n v="0.14000000000000001"/>
    <n v="0.18179999999999999"/>
    <x v="0"/>
    <n v="0.63"/>
    <x v="1"/>
    <n v="8.9599999999999999E-2"/>
    <x v="0"/>
    <x v="3"/>
    <x v="6"/>
    <x v="5"/>
  </r>
  <r>
    <n v="74"/>
    <d v="2011-01-04T00:00:00"/>
    <x v="0"/>
    <x v="0"/>
    <x v="0"/>
    <x v="5"/>
    <x v="0"/>
    <n v="2"/>
    <x v="3"/>
    <n v="1"/>
    <x v="0"/>
    <n v="0.12"/>
    <n v="0.1515"/>
    <x v="0"/>
    <n v="0.68"/>
    <x v="1"/>
    <n v="0.1045"/>
    <x v="0"/>
    <x v="3"/>
    <x v="22"/>
    <x v="48"/>
  </r>
  <r>
    <n v="75"/>
    <d v="2011-01-04T00:00:00"/>
    <x v="0"/>
    <x v="0"/>
    <x v="0"/>
    <x v="6"/>
    <x v="0"/>
    <n v="2"/>
    <x v="3"/>
    <n v="1"/>
    <x v="0"/>
    <n v="0.12"/>
    <n v="0.1515"/>
    <x v="0"/>
    <n v="0.74"/>
    <x v="0"/>
    <n v="0.1045"/>
    <x v="0"/>
    <x v="3"/>
    <x v="49"/>
    <x v="9"/>
  </r>
  <r>
    <n v="76"/>
    <d v="2011-01-04T00:00:00"/>
    <x v="0"/>
    <x v="0"/>
    <x v="0"/>
    <x v="7"/>
    <x v="0"/>
    <n v="2"/>
    <x v="3"/>
    <n v="1"/>
    <x v="0"/>
    <n v="0.12"/>
    <n v="0.1515"/>
    <x v="0"/>
    <n v="0.74"/>
    <x v="0"/>
    <n v="0.1343"/>
    <x v="0"/>
    <x v="4"/>
    <x v="50"/>
    <x v="12"/>
  </r>
  <r>
    <n v="77"/>
    <d v="2011-01-04T00:00:00"/>
    <x v="0"/>
    <x v="0"/>
    <x v="0"/>
    <x v="8"/>
    <x v="0"/>
    <n v="2"/>
    <x v="3"/>
    <n v="1"/>
    <x v="0"/>
    <n v="0.14000000000000001"/>
    <n v="0.1515"/>
    <x v="0"/>
    <n v="0.69"/>
    <x v="1"/>
    <n v="0.16420000000000001"/>
    <x v="0"/>
    <x v="4"/>
    <x v="51"/>
    <x v="49"/>
  </r>
  <r>
    <n v="78"/>
    <d v="2011-01-04T00:00:00"/>
    <x v="0"/>
    <x v="0"/>
    <x v="0"/>
    <x v="9"/>
    <x v="0"/>
    <n v="2"/>
    <x v="3"/>
    <n v="1"/>
    <x v="0"/>
    <n v="0.16"/>
    <n v="0.1515"/>
    <x v="0"/>
    <n v="0.64"/>
    <x v="1"/>
    <n v="0.22389999999999999"/>
    <x v="1"/>
    <x v="4"/>
    <x v="52"/>
    <x v="50"/>
  </r>
  <r>
    <n v="79"/>
    <d v="2011-01-04T00:00:00"/>
    <x v="0"/>
    <x v="0"/>
    <x v="0"/>
    <x v="10"/>
    <x v="0"/>
    <n v="2"/>
    <x v="3"/>
    <n v="2"/>
    <x v="1"/>
    <n v="0.16"/>
    <n v="0.13639999999999999"/>
    <x v="0"/>
    <n v="0.69"/>
    <x v="1"/>
    <n v="0.32840000000000003"/>
    <x v="1"/>
    <x v="2"/>
    <x v="53"/>
    <x v="51"/>
  </r>
  <r>
    <n v="80"/>
    <d v="2011-01-04T00:00:00"/>
    <x v="0"/>
    <x v="0"/>
    <x v="0"/>
    <x v="11"/>
    <x v="0"/>
    <n v="2"/>
    <x v="3"/>
    <n v="1"/>
    <x v="0"/>
    <n v="0.22"/>
    <n v="0.21210000000000001"/>
    <x v="0"/>
    <n v="0.51"/>
    <x v="1"/>
    <n v="0.29849999999999999"/>
    <x v="1"/>
    <x v="18"/>
    <x v="54"/>
    <x v="52"/>
  </r>
  <r>
    <n v="81"/>
    <d v="2011-01-04T00:00:00"/>
    <x v="0"/>
    <x v="0"/>
    <x v="0"/>
    <x v="12"/>
    <x v="0"/>
    <n v="2"/>
    <x v="3"/>
    <n v="1"/>
    <x v="0"/>
    <n v="0.22"/>
    <n v="0.2273"/>
    <x v="0"/>
    <n v="0.51"/>
    <x v="1"/>
    <n v="0.16420000000000001"/>
    <x v="0"/>
    <x v="6"/>
    <x v="43"/>
    <x v="53"/>
  </r>
  <r>
    <n v="82"/>
    <d v="2011-01-04T00:00:00"/>
    <x v="0"/>
    <x v="0"/>
    <x v="0"/>
    <x v="13"/>
    <x v="0"/>
    <n v="2"/>
    <x v="3"/>
    <n v="1"/>
    <x v="0"/>
    <n v="0.24"/>
    <n v="0.2273"/>
    <x v="0"/>
    <n v="0.56000000000000005"/>
    <x v="1"/>
    <n v="0.19400000000000001"/>
    <x v="0"/>
    <x v="25"/>
    <x v="55"/>
    <x v="54"/>
  </r>
  <r>
    <n v="83"/>
    <d v="2011-01-04T00:00:00"/>
    <x v="0"/>
    <x v="0"/>
    <x v="0"/>
    <x v="14"/>
    <x v="0"/>
    <n v="2"/>
    <x v="3"/>
    <n v="1"/>
    <x v="0"/>
    <n v="0.26"/>
    <n v="0.2576"/>
    <x v="0"/>
    <n v="0.52"/>
    <x v="1"/>
    <n v="0.22389999999999999"/>
    <x v="1"/>
    <x v="14"/>
    <x v="25"/>
    <x v="55"/>
  </r>
  <r>
    <n v="84"/>
    <d v="2011-01-04T00:00:00"/>
    <x v="0"/>
    <x v="0"/>
    <x v="0"/>
    <x v="15"/>
    <x v="0"/>
    <n v="2"/>
    <x v="3"/>
    <n v="1"/>
    <x v="0"/>
    <n v="0.28000000000000003"/>
    <n v="0.2727"/>
    <x v="0"/>
    <n v="0.52"/>
    <x v="1"/>
    <n v="0.25369999999999998"/>
    <x v="1"/>
    <x v="26"/>
    <x v="41"/>
    <x v="32"/>
  </r>
  <r>
    <n v="85"/>
    <d v="2011-01-04T00:00:00"/>
    <x v="0"/>
    <x v="0"/>
    <x v="0"/>
    <x v="16"/>
    <x v="0"/>
    <n v="2"/>
    <x v="3"/>
    <n v="1"/>
    <x v="0"/>
    <n v="0.3"/>
    <n v="0.28789999999999999"/>
    <x v="0"/>
    <n v="0.49"/>
    <x v="1"/>
    <n v="0.25369999999999998"/>
    <x v="1"/>
    <x v="13"/>
    <x v="56"/>
    <x v="56"/>
  </r>
  <r>
    <n v="86"/>
    <d v="2011-01-04T00:00:00"/>
    <x v="0"/>
    <x v="0"/>
    <x v="0"/>
    <x v="17"/>
    <x v="0"/>
    <n v="2"/>
    <x v="3"/>
    <n v="1"/>
    <x v="0"/>
    <n v="0.28000000000000003"/>
    <n v="0.2727"/>
    <x v="0"/>
    <n v="0.48"/>
    <x v="1"/>
    <n v="0.22389999999999999"/>
    <x v="1"/>
    <x v="22"/>
    <x v="57"/>
    <x v="57"/>
  </r>
  <r>
    <n v="87"/>
    <d v="2011-01-04T00:00:00"/>
    <x v="0"/>
    <x v="0"/>
    <x v="0"/>
    <x v="18"/>
    <x v="0"/>
    <n v="2"/>
    <x v="3"/>
    <n v="1"/>
    <x v="0"/>
    <n v="0.26"/>
    <n v="0.2576"/>
    <x v="0"/>
    <n v="0.48"/>
    <x v="1"/>
    <n v="0.19400000000000001"/>
    <x v="0"/>
    <x v="0"/>
    <x v="58"/>
    <x v="58"/>
  </r>
  <r>
    <n v="88"/>
    <d v="2011-01-04T00:00:00"/>
    <x v="0"/>
    <x v="0"/>
    <x v="0"/>
    <x v="19"/>
    <x v="0"/>
    <n v="2"/>
    <x v="3"/>
    <n v="1"/>
    <x v="0"/>
    <n v="0.24"/>
    <n v="0.2576"/>
    <x v="0"/>
    <n v="0.48"/>
    <x v="1"/>
    <n v="0.1045"/>
    <x v="0"/>
    <x v="4"/>
    <x v="59"/>
    <x v="59"/>
  </r>
  <r>
    <n v="89"/>
    <d v="2011-01-04T00:00:00"/>
    <x v="0"/>
    <x v="0"/>
    <x v="0"/>
    <x v="20"/>
    <x v="0"/>
    <n v="2"/>
    <x v="3"/>
    <n v="1"/>
    <x v="0"/>
    <n v="0.24"/>
    <n v="0.2576"/>
    <x v="0"/>
    <n v="0.48"/>
    <x v="1"/>
    <n v="0.1045"/>
    <x v="0"/>
    <x v="5"/>
    <x v="42"/>
    <x v="60"/>
  </r>
  <r>
    <n v="90"/>
    <d v="2011-01-04T00:00:00"/>
    <x v="0"/>
    <x v="0"/>
    <x v="0"/>
    <x v="21"/>
    <x v="0"/>
    <n v="2"/>
    <x v="3"/>
    <n v="1"/>
    <x v="0"/>
    <n v="0.22"/>
    <n v="0.2727"/>
    <x v="0"/>
    <n v="0.64"/>
    <x v="1"/>
    <n v="0"/>
    <x v="0"/>
    <x v="3"/>
    <x v="41"/>
    <x v="61"/>
  </r>
  <r>
    <n v="91"/>
    <d v="2011-01-04T00:00:00"/>
    <x v="0"/>
    <x v="0"/>
    <x v="0"/>
    <x v="22"/>
    <x v="0"/>
    <n v="2"/>
    <x v="3"/>
    <n v="1"/>
    <x v="0"/>
    <n v="0.22"/>
    <n v="0.2576"/>
    <x v="0"/>
    <n v="0.64"/>
    <x v="1"/>
    <n v="8.9599999999999999E-2"/>
    <x v="0"/>
    <x v="5"/>
    <x v="60"/>
    <x v="17"/>
  </r>
  <r>
    <n v="92"/>
    <d v="2011-01-04T00:00:00"/>
    <x v="0"/>
    <x v="0"/>
    <x v="0"/>
    <x v="23"/>
    <x v="0"/>
    <n v="2"/>
    <x v="3"/>
    <n v="1"/>
    <x v="0"/>
    <n v="0.2"/>
    <n v="0.2273"/>
    <x v="0"/>
    <n v="0.69"/>
    <x v="1"/>
    <n v="8.9599999999999999E-2"/>
    <x v="0"/>
    <x v="4"/>
    <x v="33"/>
    <x v="62"/>
  </r>
  <r>
    <n v="93"/>
    <d v="2011-01-05T00:00:00"/>
    <x v="0"/>
    <x v="0"/>
    <x v="0"/>
    <x v="0"/>
    <x v="0"/>
    <n v="3"/>
    <x v="4"/>
    <n v="1"/>
    <x v="0"/>
    <n v="0.2"/>
    <n v="0.2576"/>
    <x v="0"/>
    <n v="0.64"/>
    <x v="1"/>
    <n v="0"/>
    <x v="0"/>
    <x v="3"/>
    <x v="8"/>
    <x v="24"/>
  </r>
  <r>
    <n v="94"/>
    <d v="2011-01-05T00:00:00"/>
    <x v="0"/>
    <x v="0"/>
    <x v="0"/>
    <x v="1"/>
    <x v="0"/>
    <n v="3"/>
    <x v="4"/>
    <n v="1"/>
    <x v="0"/>
    <n v="0.16"/>
    <n v="0.19700000000000001"/>
    <x v="0"/>
    <n v="0.74"/>
    <x v="0"/>
    <n v="8.9599999999999999E-2"/>
    <x v="0"/>
    <x v="3"/>
    <x v="8"/>
    <x v="24"/>
  </r>
  <r>
    <n v="95"/>
    <d v="2011-01-05T00:00:00"/>
    <x v="0"/>
    <x v="0"/>
    <x v="0"/>
    <x v="2"/>
    <x v="0"/>
    <n v="3"/>
    <x v="4"/>
    <n v="1"/>
    <x v="0"/>
    <n v="0.16"/>
    <n v="0.19700000000000001"/>
    <x v="0"/>
    <n v="0.74"/>
    <x v="0"/>
    <n v="8.9599999999999999E-2"/>
    <x v="0"/>
    <x v="3"/>
    <x v="6"/>
    <x v="5"/>
  </r>
  <r>
    <n v="96"/>
    <d v="2011-01-05T00:00:00"/>
    <x v="0"/>
    <x v="0"/>
    <x v="0"/>
    <x v="4"/>
    <x v="0"/>
    <n v="3"/>
    <x v="4"/>
    <n v="1"/>
    <x v="0"/>
    <n v="0.24"/>
    <n v="0.2273"/>
    <x v="0"/>
    <n v="0.48"/>
    <x v="1"/>
    <n v="0.22389999999999999"/>
    <x v="1"/>
    <x v="3"/>
    <x v="6"/>
    <x v="5"/>
  </r>
  <r>
    <n v="97"/>
    <d v="2011-01-05T00:00:00"/>
    <x v="0"/>
    <x v="0"/>
    <x v="0"/>
    <x v="5"/>
    <x v="0"/>
    <n v="3"/>
    <x v="4"/>
    <n v="1"/>
    <x v="0"/>
    <n v="0.22"/>
    <n v="0.2273"/>
    <x v="0"/>
    <n v="0.47"/>
    <x v="1"/>
    <n v="0.16420000000000001"/>
    <x v="0"/>
    <x v="3"/>
    <x v="35"/>
    <x v="6"/>
  </r>
  <r>
    <n v="98"/>
    <d v="2011-01-05T00:00:00"/>
    <x v="0"/>
    <x v="0"/>
    <x v="0"/>
    <x v="6"/>
    <x v="0"/>
    <n v="3"/>
    <x v="4"/>
    <n v="1"/>
    <x v="0"/>
    <n v="0.2"/>
    <n v="0.19700000000000001"/>
    <x v="0"/>
    <n v="0.47"/>
    <x v="1"/>
    <n v="0.22389999999999999"/>
    <x v="1"/>
    <x v="3"/>
    <x v="39"/>
    <x v="63"/>
  </r>
  <r>
    <n v="99"/>
    <d v="2011-01-05T00:00:00"/>
    <x v="0"/>
    <x v="0"/>
    <x v="0"/>
    <x v="7"/>
    <x v="0"/>
    <n v="3"/>
    <x v="4"/>
    <n v="1"/>
    <x v="0"/>
    <n v="0.18"/>
    <n v="0.18179999999999999"/>
    <x v="0"/>
    <n v="0.43"/>
    <x v="1"/>
    <n v="0.19400000000000001"/>
    <x v="0"/>
    <x v="5"/>
    <x v="61"/>
    <x v="39"/>
  </r>
  <r>
    <n v="100"/>
    <d v="2011-01-05T00:00:00"/>
    <x v="0"/>
    <x v="0"/>
    <x v="0"/>
    <x v="8"/>
    <x v="0"/>
    <n v="3"/>
    <x v="4"/>
    <n v="1"/>
    <x v="0"/>
    <n v="0.2"/>
    <n v="0.18179999999999999"/>
    <x v="0"/>
    <n v="0.4"/>
    <x v="1"/>
    <n v="0.29849999999999999"/>
    <x v="1"/>
    <x v="0"/>
    <x v="62"/>
    <x v="64"/>
  </r>
  <r>
    <n v="101"/>
    <d v="2011-01-05T00:00:00"/>
    <x v="0"/>
    <x v="0"/>
    <x v="0"/>
    <x v="9"/>
    <x v="0"/>
    <n v="3"/>
    <x v="4"/>
    <n v="1"/>
    <x v="0"/>
    <n v="0.22"/>
    <n v="0.19700000000000001"/>
    <x v="0"/>
    <n v="0.37"/>
    <x v="2"/>
    <n v="0.32840000000000003"/>
    <x v="1"/>
    <x v="15"/>
    <x v="63"/>
    <x v="65"/>
  </r>
  <r>
    <n v="102"/>
    <d v="2011-01-05T00:00:00"/>
    <x v="0"/>
    <x v="0"/>
    <x v="0"/>
    <x v="10"/>
    <x v="0"/>
    <n v="3"/>
    <x v="4"/>
    <n v="1"/>
    <x v="0"/>
    <n v="0.22"/>
    <n v="0.19700000000000001"/>
    <x v="0"/>
    <n v="0.37"/>
    <x v="2"/>
    <n v="0.32840000000000003"/>
    <x v="1"/>
    <x v="17"/>
    <x v="42"/>
    <x v="52"/>
  </r>
  <r>
    <n v="103"/>
    <d v="2011-01-05T00:00:00"/>
    <x v="0"/>
    <x v="0"/>
    <x v="0"/>
    <x v="11"/>
    <x v="0"/>
    <n v="3"/>
    <x v="4"/>
    <n v="1"/>
    <x v="0"/>
    <n v="0.26"/>
    <n v="0.2273"/>
    <x v="0"/>
    <n v="0.33"/>
    <x v="2"/>
    <n v="0.32840000000000003"/>
    <x v="1"/>
    <x v="6"/>
    <x v="60"/>
    <x v="66"/>
  </r>
  <r>
    <n v="104"/>
    <d v="2011-01-05T00:00:00"/>
    <x v="0"/>
    <x v="0"/>
    <x v="0"/>
    <x v="12"/>
    <x v="0"/>
    <n v="3"/>
    <x v="4"/>
    <n v="1"/>
    <x v="0"/>
    <n v="0.26"/>
    <n v="0.2273"/>
    <x v="0"/>
    <n v="0.33"/>
    <x v="2"/>
    <n v="0.32840000000000003"/>
    <x v="1"/>
    <x v="2"/>
    <x v="64"/>
    <x v="67"/>
  </r>
  <r>
    <n v="105"/>
    <d v="2011-01-05T00:00:00"/>
    <x v="0"/>
    <x v="0"/>
    <x v="0"/>
    <x v="13"/>
    <x v="0"/>
    <n v="3"/>
    <x v="4"/>
    <n v="1"/>
    <x v="0"/>
    <n v="0.28000000000000003"/>
    <n v="0.2576"/>
    <x v="0"/>
    <n v="0.3"/>
    <x v="2"/>
    <n v="0.29849999999999999"/>
    <x v="1"/>
    <x v="15"/>
    <x v="65"/>
    <x v="68"/>
  </r>
  <r>
    <n v="106"/>
    <d v="2011-01-05T00:00:00"/>
    <x v="0"/>
    <x v="0"/>
    <x v="0"/>
    <x v="14"/>
    <x v="0"/>
    <n v="3"/>
    <x v="4"/>
    <n v="1"/>
    <x v="0"/>
    <n v="0.3"/>
    <n v="0.28789999999999999"/>
    <x v="0"/>
    <n v="0.28000000000000003"/>
    <x v="2"/>
    <n v="0.19400000000000001"/>
    <x v="0"/>
    <x v="22"/>
    <x v="15"/>
    <x v="69"/>
  </r>
  <r>
    <n v="107"/>
    <d v="2011-01-05T00:00:00"/>
    <x v="0"/>
    <x v="0"/>
    <x v="0"/>
    <x v="15"/>
    <x v="0"/>
    <n v="3"/>
    <x v="4"/>
    <n v="1"/>
    <x v="0"/>
    <n v="0.3"/>
    <n v="0.28789999999999999"/>
    <x v="0"/>
    <n v="0.28000000000000003"/>
    <x v="2"/>
    <n v="0.19400000000000001"/>
    <x v="0"/>
    <x v="18"/>
    <x v="11"/>
    <x v="69"/>
  </r>
  <r>
    <n v="108"/>
    <d v="2011-01-05T00:00:00"/>
    <x v="0"/>
    <x v="0"/>
    <x v="0"/>
    <x v="16"/>
    <x v="0"/>
    <n v="3"/>
    <x v="4"/>
    <n v="1"/>
    <x v="0"/>
    <n v="0.3"/>
    <n v="0.31819999999999998"/>
    <x v="1"/>
    <n v="0.28000000000000003"/>
    <x v="2"/>
    <n v="8.9599999999999999E-2"/>
    <x v="0"/>
    <x v="17"/>
    <x v="66"/>
    <x v="70"/>
  </r>
  <r>
    <n v="109"/>
    <d v="2011-01-05T00:00:00"/>
    <x v="0"/>
    <x v="0"/>
    <x v="0"/>
    <x v="17"/>
    <x v="0"/>
    <n v="3"/>
    <x v="4"/>
    <n v="1"/>
    <x v="0"/>
    <n v="0.24"/>
    <n v="0.2273"/>
    <x v="0"/>
    <n v="0.38"/>
    <x v="2"/>
    <n v="0.19400000000000001"/>
    <x v="0"/>
    <x v="17"/>
    <x v="67"/>
    <x v="71"/>
  </r>
  <r>
    <n v="110"/>
    <d v="2011-01-05T00:00:00"/>
    <x v="0"/>
    <x v="0"/>
    <x v="0"/>
    <x v="18"/>
    <x v="0"/>
    <n v="3"/>
    <x v="4"/>
    <n v="1"/>
    <x v="0"/>
    <n v="0.24"/>
    <n v="0.2424"/>
    <x v="0"/>
    <n v="0.38"/>
    <x v="2"/>
    <n v="0.1343"/>
    <x v="0"/>
    <x v="0"/>
    <x v="68"/>
    <x v="72"/>
  </r>
  <r>
    <n v="111"/>
    <d v="2011-01-05T00:00:00"/>
    <x v="0"/>
    <x v="0"/>
    <x v="0"/>
    <x v="19"/>
    <x v="0"/>
    <n v="3"/>
    <x v="4"/>
    <n v="1"/>
    <x v="0"/>
    <n v="0.24"/>
    <n v="0.2576"/>
    <x v="0"/>
    <n v="0.38"/>
    <x v="2"/>
    <n v="0.1045"/>
    <x v="0"/>
    <x v="2"/>
    <x v="69"/>
    <x v="73"/>
  </r>
  <r>
    <n v="112"/>
    <d v="2011-01-05T00:00:00"/>
    <x v="0"/>
    <x v="0"/>
    <x v="0"/>
    <x v="20"/>
    <x v="0"/>
    <n v="3"/>
    <x v="4"/>
    <n v="1"/>
    <x v="0"/>
    <n v="0.22"/>
    <n v="0.2273"/>
    <x v="0"/>
    <n v="0.47"/>
    <x v="1"/>
    <n v="0.16420000000000001"/>
    <x v="0"/>
    <x v="18"/>
    <x v="70"/>
    <x v="70"/>
  </r>
  <r>
    <n v="113"/>
    <d v="2011-01-05T00:00:00"/>
    <x v="0"/>
    <x v="0"/>
    <x v="0"/>
    <x v="21"/>
    <x v="0"/>
    <n v="3"/>
    <x v="4"/>
    <n v="1"/>
    <x v="0"/>
    <n v="0.2"/>
    <n v="0.19700000000000001"/>
    <x v="0"/>
    <n v="0.51"/>
    <x v="1"/>
    <n v="0.19400000000000001"/>
    <x v="0"/>
    <x v="0"/>
    <x v="71"/>
    <x v="74"/>
  </r>
  <r>
    <n v="114"/>
    <d v="2011-01-05T00:00:00"/>
    <x v="0"/>
    <x v="0"/>
    <x v="0"/>
    <x v="22"/>
    <x v="0"/>
    <n v="3"/>
    <x v="4"/>
    <n v="1"/>
    <x v="0"/>
    <n v="0.18"/>
    <n v="0.19700000000000001"/>
    <x v="0"/>
    <n v="0.55000000000000004"/>
    <x v="1"/>
    <n v="0.1343"/>
    <x v="0"/>
    <x v="5"/>
    <x v="40"/>
    <x v="51"/>
  </r>
  <r>
    <n v="115"/>
    <d v="2011-01-05T00:00:00"/>
    <x v="0"/>
    <x v="0"/>
    <x v="0"/>
    <x v="23"/>
    <x v="0"/>
    <n v="3"/>
    <x v="4"/>
    <n v="1"/>
    <x v="0"/>
    <n v="0.2"/>
    <n v="0.2576"/>
    <x v="0"/>
    <n v="0.47"/>
    <x v="1"/>
    <n v="0"/>
    <x v="0"/>
    <x v="5"/>
    <x v="72"/>
    <x v="75"/>
  </r>
  <r>
    <n v="116"/>
    <d v="2011-01-06T00:00:00"/>
    <x v="0"/>
    <x v="0"/>
    <x v="0"/>
    <x v="0"/>
    <x v="0"/>
    <n v="4"/>
    <x v="5"/>
    <n v="1"/>
    <x v="0"/>
    <n v="0.18"/>
    <n v="0.2424"/>
    <x v="0"/>
    <n v="0.55000000000000004"/>
    <x v="1"/>
    <n v="0"/>
    <x v="0"/>
    <x v="3"/>
    <x v="48"/>
    <x v="62"/>
  </r>
  <r>
    <n v="117"/>
    <d v="2011-01-06T00:00:00"/>
    <x v="0"/>
    <x v="0"/>
    <x v="0"/>
    <x v="1"/>
    <x v="0"/>
    <n v="4"/>
    <x v="5"/>
    <n v="1"/>
    <x v="0"/>
    <n v="0.16"/>
    <n v="0.2273"/>
    <x v="0"/>
    <n v="0.64"/>
    <x v="1"/>
    <n v="0"/>
    <x v="0"/>
    <x v="3"/>
    <x v="22"/>
    <x v="48"/>
  </r>
  <r>
    <n v="118"/>
    <d v="2011-01-06T00:00:00"/>
    <x v="0"/>
    <x v="0"/>
    <x v="0"/>
    <x v="2"/>
    <x v="0"/>
    <n v="4"/>
    <x v="5"/>
    <n v="1"/>
    <x v="0"/>
    <n v="0.16"/>
    <n v="0.2273"/>
    <x v="0"/>
    <n v="0.64"/>
    <x v="1"/>
    <n v="0"/>
    <x v="0"/>
    <x v="3"/>
    <x v="6"/>
    <x v="5"/>
  </r>
  <r>
    <n v="119"/>
    <d v="2011-01-06T00:00:00"/>
    <x v="0"/>
    <x v="0"/>
    <x v="0"/>
    <x v="4"/>
    <x v="0"/>
    <n v="4"/>
    <x v="5"/>
    <n v="2"/>
    <x v="1"/>
    <n v="0.16"/>
    <n v="0.19700000000000001"/>
    <x v="0"/>
    <n v="0.64"/>
    <x v="1"/>
    <n v="8.9599999999999999E-2"/>
    <x v="0"/>
    <x v="3"/>
    <x v="4"/>
    <x v="4"/>
  </r>
  <r>
    <n v="120"/>
    <d v="2011-01-06T00:00:00"/>
    <x v="0"/>
    <x v="0"/>
    <x v="0"/>
    <x v="5"/>
    <x v="0"/>
    <n v="4"/>
    <x v="5"/>
    <n v="2"/>
    <x v="1"/>
    <n v="0.14000000000000001"/>
    <n v="0.18179999999999999"/>
    <x v="0"/>
    <n v="0.69"/>
    <x v="1"/>
    <n v="8.9599999999999999E-2"/>
    <x v="0"/>
    <x v="3"/>
    <x v="22"/>
    <x v="48"/>
  </r>
  <r>
    <n v="121"/>
    <d v="2011-01-06T00:00:00"/>
    <x v="0"/>
    <x v="0"/>
    <x v="0"/>
    <x v="6"/>
    <x v="0"/>
    <n v="4"/>
    <x v="5"/>
    <n v="2"/>
    <x v="1"/>
    <n v="0.14000000000000001"/>
    <n v="0.16669999999999999"/>
    <x v="0"/>
    <n v="0.63"/>
    <x v="1"/>
    <n v="0.1045"/>
    <x v="0"/>
    <x v="3"/>
    <x v="49"/>
    <x v="9"/>
  </r>
  <r>
    <n v="122"/>
    <d v="2011-01-06T00:00:00"/>
    <x v="0"/>
    <x v="0"/>
    <x v="0"/>
    <x v="7"/>
    <x v="0"/>
    <n v="4"/>
    <x v="5"/>
    <n v="2"/>
    <x v="1"/>
    <n v="0.16"/>
    <n v="0.2273"/>
    <x v="0"/>
    <n v="0.59"/>
    <x v="1"/>
    <n v="0"/>
    <x v="0"/>
    <x v="3"/>
    <x v="73"/>
    <x v="76"/>
  </r>
  <r>
    <n v="123"/>
    <d v="2011-01-06T00:00:00"/>
    <x v="0"/>
    <x v="0"/>
    <x v="0"/>
    <x v="8"/>
    <x v="0"/>
    <n v="4"/>
    <x v="5"/>
    <n v="1"/>
    <x v="0"/>
    <n v="0.16"/>
    <n v="0.2273"/>
    <x v="0"/>
    <n v="0.59"/>
    <x v="1"/>
    <n v="0"/>
    <x v="0"/>
    <x v="0"/>
    <x v="74"/>
    <x v="77"/>
  </r>
  <r>
    <n v="124"/>
    <d v="2011-01-06T00:00:00"/>
    <x v="0"/>
    <x v="0"/>
    <x v="0"/>
    <x v="9"/>
    <x v="0"/>
    <n v="4"/>
    <x v="5"/>
    <n v="2"/>
    <x v="1"/>
    <n v="0.18"/>
    <n v="0.2424"/>
    <x v="0"/>
    <n v="0.51"/>
    <x v="1"/>
    <n v="0"/>
    <x v="0"/>
    <x v="15"/>
    <x v="75"/>
    <x v="78"/>
  </r>
  <r>
    <n v="125"/>
    <d v="2011-01-06T00:00:00"/>
    <x v="0"/>
    <x v="0"/>
    <x v="0"/>
    <x v="10"/>
    <x v="0"/>
    <n v="4"/>
    <x v="5"/>
    <n v="1"/>
    <x v="0"/>
    <n v="0.2"/>
    <n v="0.2576"/>
    <x v="0"/>
    <n v="0.47"/>
    <x v="1"/>
    <n v="0"/>
    <x v="0"/>
    <x v="0"/>
    <x v="76"/>
    <x v="79"/>
  </r>
  <r>
    <n v="126"/>
    <d v="2011-01-06T00:00:00"/>
    <x v="0"/>
    <x v="0"/>
    <x v="0"/>
    <x v="11"/>
    <x v="0"/>
    <n v="4"/>
    <x v="5"/>
    <n v="1"/>
    <x v="0"/>
    <n v="0.22"/>
    <n v="0.2576"/>
    <x v="0"/>
    <n v="0.44"/>
    <x v="1"/>
    <n v="8.9599999999999999E-2"/>
    <x v="0"/>
    <x v="4"/>
    <x v="77"/>
    <x v="29"/>
  </r>
  <r>
    <n v="127"/>
    <d v="2011-01-06T00:00:00"/>
    <x v="0"/>
    <x v="0"/>
    <x v="0"/>
    <x v="12"/>
    <x v="0"/>
    <n v="4"/>
    <x v="5"/>
    <n v="1"/>
    <x v="0"/>
    <n v="0.26"/>
    <n v="0.28789999999999999"/>
    <x v="0"/>
    <n v="0.35"/>
    <x v="2"/>
    <n v="0"/>
    <x v="0"/>
    <x v="15"/>
    <x v="78"/>
    <x v="11"/>
  </r>
  <r>
    <n v="128"/>
    <d v="2011-01-06T00:00:00"/>
    <x v="0"/>
    <x v="0"/>
    <x v="0"/>
    <x v="13"/>
    <x v="0"/>
    <n v="4"/>
    <x v="5"/>
    <n v="1"/>
    <x v="0"/>
    <n v="0.26"/>
    <n v="0.2727"/>
    <x v="0"/>
    <n v="0.35"/>
    <x v="2"/>
    <n v="0.1045"/>
    <x v="0"/>
    <x v="6"/>
    <x v="11"/>
    <x v="16"/>
  </r>
  <r>
    <n v="129"/>
    <d v="2011-01-06T00:00:00"/>
    <x v="0"/>
    <x v="0"/>
    <x v="0"/>
    <x v="14"/>
    <x v="0"/>
    <n v="4"/>
    <x v="5"/>
    <n v="1"/>
    <x v="0"/>
    <n v="0.28000000000000003"/>
    <n v="0.2727"/>
    <x v="0"/>
    <n v="0.36"/>
    <x v="2"/>
    <n v="0.16420000000000001"/>
    <x v="0"/>
    <x v="16"/>
    <x v="79"/>
    <x v="27"/>
  </r>
  <r>
    <n v="130"/>
    <d v="2011-01-06T00:00:00"/>
    <x v="0"/>
    <x v="0"/>
    <x v="0"/>
    <x v="15"/>
    <x v="0"/>
    <n v="4"/>
    <x v="5"/>
    <n v="1"/>
    <x v="0"/>
    <n v="0.28000000000000003"/>
    <n v="0.2727"/>
    <x v="0"/>
    <n v="0.36"/>
    <x v="2"/>
    <n v="0"/>
    <x v="0"/>
    <x v="1"/>
    <x v="25"/>
    <x v="69"/>
  </r>
  <r>
    <n v="131"/>
    <d v="2011-01-06T00:00:00"/>
    <x v="0"/>
    <x v="0"/>
    <x v="0"/>
    <x v="16"/>
    <x v="0"/>
    <n v="4"/>
    <x v="5"/>
    <n v="1"/>
    <x v="0"/>
    <n v="0.26"/>
    <n v="0.2576"/>
    <x v="0"/>
    <n v="0.38"/>
    <x v="2"/>
    <n v="0.16420000000000001"/>
    <x v="0"/>
    <x v="6"/>
    <x v="64"/>
    <x v="80"/>
  </r>
  <r>
    <n v="132"/>
    <d v="2011-01-06T00:00:00"/>
    <x v="0"/>
    <x v="0"/>
    <x v="0"/>
    <x v="17"/>
    <x v="0"/>
    <n v="4"/>
    <x v="5"/>
    <n v="1"/>
    <x v="0"/>
    <n v="0.22"/>
    <n v="0.2273"/>
    <x v="0"/>
    <n v="0.51"/>
    <x v="1"/>
    <n v="0.16420000000000001"/>
    <x v="0"/>
    <x v="14"/>
    <x v="80"/>
    <x v="81"/>
  </r>
  <r>
    <n v="133"/>
    <d v="2011-01-06T00:00:00"/>
    <x v="0"/>
    <x v="0"/>
    <x v="0"/>
    <x v="18"/>
    <x v="0"/>
    <n v="4"/>
    <x v="5"/>
    <n v="1"/>
    <x v="0"/>
    <n v="0.22"/>
    <n v="0.2273"/>
    <x v="0"/>
    <n v="0.51"/>
    <x v="1"/>
    <n v="0.1343"/>
    <x v="0"/>
    <x v="2"/>
    <x v="81"/>
    <x v="82"/>
  </r>
  <r>
    <n v="134"/>
    <d v="2011-01-06T00:00:00"/>
    <x v="0"/>
    <x v="0"/>
    <x v="0"/>
    <x v="19"/>
    <x v="0"/>
    <n v="4"/>
    <x v="5"/>
    <n v="1"/>
    <x v="0"/>
    <n v="0.22"/>
    <n v="0.2576"/>
    <x v="0"/>
    <n v="0.55000000000000004"/>
    <x v="1"/>
    <n v="8.9599999999999999E-2"/>
    <x v="0"/>
    <x v="0"/>
    <x v="63"/>
    <x v="59"/>
  </r>
  <r>
    <n v="135"/>
    <d v="2011-01-06T00:00:00"/>
    <x v="0"/>
    <x v="0"/>
    <x v="0"/>
    <x v="20"/>
    <x v="0"/>
    <n v="4"/>
    <x v="5"/>
    <n v="1"/>
    <x v="0"/>
    <n v="0.2"/>
    <n v="0.21210000000000001"/>
    <x v="0"/>
    <n v="0.51"/>
    <x v="1"/>
    <n v="0.16420000000000001"/>
    <x v="0"/>
    <x v="0"/>
    <x v="43"/>
    <x v="83"/>
  </r>
  <r>
    <n v="136"/>
    <d v="2011-01-06T00:00:00"/>
    <x v="0"/>
    <x v="0"/>
    <x v="0"/>
    <x v="21"/>
    <x v="0"/>
    <n v="4"/>
    <x v="5"/>
    <n v="2"/>
    <x v="1"/>
    <n v="0.22"/>
    <n v="0.21210000000000001"/>
    <x v="0"/>
    <n v="0.55000000000000004"/>
    <x v="1"/>
    <n v="0.22389999999999999"/>
    <x v="1"/>
    <x v="3"/>
    <x v="41"/>
    <x v="61"/>
  </r>
  <r>
    <n v="137"/>
    <d v="2011-01-06T00:00:00"/>
    <x v="0"/>
    <x v="0"/>
    <x v="0"/>
    <x v="22"/>
    <x v="0"/>
    <n v="4"/>
    <x v="5"/>
    <n v="2"/>
    <x v="1"/>
    <n v="0.22"/>
    <n v="0.21210000000000001"/>
    <x v="0"/>
    <n v="0.51"/>
    <x v="1"/>
    <n v="0.28360000000000002"/>
    <x v="1"/>
    <x v="5"/>
    <x v="82"/>
    <x v="46"/>
  </r>
  <r>
    <n v="138"/>
    <d v="2011-01-06T00:00:00"/>
    <x v="0"/>
    <x v="0"/>
    <x v="0"/>
    <x v="23"/>
    <x v="0"/>
    <n v="4"/>
    <x v="5"/>
    <n v="2"/>
    <x v="1"/>
    <n v="0.2"/>
    <n v="0.19700000000000001"/>
    <x v="0"/>
    <n v="0.59"/>
    <x v="1"/>
    <n v="0.19400000000000001"/>
    <x v="0"/>
    <x v="17"/>
    <x v="23"/>
    <x v="84"/>
  </r>
  <r>
    <n v="139"/>
    <d v="2011-01-07T00:00:00"/>
    <x v="0"/>
    <x v="0"/>
    <x v="0"/>
    <x v="0"/>
    <x v="0"/>
    <n v="5"/>
    <x v="6"/>
    <n v="2"/>
    <x v="1"/>
    <n v="0.2"/>
    <n v="0.19700000000000001"/>
    <x v="0"/>
    <n v="0.64"/>
    <x v="1"/>
    <n v="0.19400000000000001"/>
    <x v="0"/>
    <x v="17"/>
    <x v="0"/>
    <x v="22"/>
  </r>
  <r>
    <n v="140"/>
    <d v="2011-01-07T00:00:00"/>
    <x v="0"/>
    <x v="0"/>
    <x v="0"/>
    <x v="1"/>
    <x v="0"/>
    <n v="5"/>
    <x v="6"/>
    <n v="2"/>
    <x v="1"/>
    <n v="0.2"/>
    <n v="0.19700000000000001"/>
    <x v="0"/>
    <n v="0.69"/>
    <x v="1"/>
    <n v="0.22389999999999999"/>
    <x v="1"/>
    <x v="4"/>
    <x v="34"/>
    <x v="85"/>
  </r>
  <r>
    <n v="141"/>
    <d v="2011-01-07T00:00:00"/>
    <x v="0"/>
    <x v="0"/>
    <x v="0"/>
    <x v="2"/>
    <x v="0"/>
    <n v="5"/>
    <x v="6"/>
    <n v="2"/>
    <x v="1"/>
    <n v="0.2"/>
    <n v="0.19700000000000001"/>
    <x v="0"/>
    <n v="0.69"/>
    <x v="1"/>
    <n v="0.22389999999999999"/>
    <x v="1"/>
    <x v="3"/>
    <x v="4"/>
    <x v="4"/>
  </r>
  <r>
    <n v="142"/>
    <d v="2011-01-07T00:00:00"/>
    <x v="0"/>
    <x v="0"/>
    <x v="0"/>
    <x v="4"/>
    <x v="0"/>
    <n v="5"/>
    <x v="6"/>
    <n v="2"/>
    <x v="1"/>
    <n v="0.2"/>
    <n v="0.21210000000000001"/>
    <x v="0"/>
    <n v="0.69"/>
    <x v="1"/>
    <n v="0.1343"/>
    <x v="0"/>
    <x v="3"/>
    <x v="4"/>
    <x v="4"/>
  </r>
  <r>
    <n v="143"/>
    <d v="2011-01-07T00:00:00"/>
    <x v="0"/>
    <x v="0"/>
    <x v="0"/>
    <x v="5"/>
    <x v="0"/>
    <n v="5"/>
    <x v="6"/>
    <n v="3"/>
    <x v="2"/>
    <n v="0.22"/>
    <n v="0.2727"/>
    <x v="0"/>
    <n v="0.55000000000000004"/>
    <x v="1"/>
    <n v="0"/>
    <x v="0"/>
    <x v="3"/>
    <x v="34"/>
    <x v="36"/>
  </r>
  <r>
    <n v="144"/>
    <d v="2011-01-07T00:00:00"/>
    <x v="0"/>
    <x v="0"/>
    <x v="0"/>
    <x v="6"/>
    <x v="0"/>
    <n v="5"/>
    <x v="6"/>
    <n v="2"/>
    <x v="1"/>
    <n v="0.2"/>
    <n v="0.2576"/>
    <x v="0"/>
    <n v="0.69"/>
    <x v="1"/>
    <n v="0"/>
    <x v="0"/>
    <x v="1"/>
    <x v="16"/>
    <x v="19"/>
  </r>
  <r>
    <n v="145"/>
    <d v="2011-01-07T00:00:00"/>
    <x v="0"/>
    <x v="0"/>
    <x v="0"/>
    <x v="7"/>
    <x v="0"/>
    <n v="5"/>
    <x v="6"/>
    <n v="1"/>
    <x v="0"/>
    <n v="0.2"/>
    <n v="0.21210000000000001"/>
    <x v="0"/>
    <n v="0.69"/>
    <x v="1"/>
    <n v="0.1343"/>
    <x v="0"/>
    <x v="1"/>
    <x v="83"/>
    <x v="11"/>
  </r>
  <r>
    <n v="146"/>
    <d v="2011-01-07T00:00:00"/>
    <x v="0"/>
    <x v="0"/>
    <x v="0"/>
    <x v="8"/>
    <x v="0"/>
    <n v="5"/>
    <x v="6"/>
    <n v="1"/>
    <x v="0"/>
    <n v="0.2"/>
    <n v="0.19700000000000001"/>
    <x v="0"/>
    <n v="0.51"/>
    <x v="1"/>
    <n v="0.25369999999999998"/>
    <x v="1"/>
    <x v="20"/>
    <x v="84"/>
    <x v="86"/>
  </r>
  <r>
    <n v="147"/>
    <d v="2011-01-07T00:00:00"/>
    <x v="0"/>
    <x v="0"/>
    <x v="0"/>
    <x v="9"/>
    <x v="0"/>
    <n v="5"/>
    <x v="6"/>
    <n v="1"/>
    <x v="0"/>
    <n v="0.2"/>
    <n v="0.18179999999999999"/>
    <x v="0"/>
    <n v="0.47"/>
    <x v="1"/>
    <n v="0.29849999999999999"/>
    <x v="1"/>
    <x v="14"/>
    <x v="85"/>
    <x v="87"/>
  </r>
  <r>
    <n v="148"/>
    <d v="2011-01-07T00:00:00"/>
    <x v="0"/>
    <x v="0"/>
    <x v="0"/>
    <x v="10"/>
    <x v="0"/>
    <n v="5"/>
    <x v="6"/>
    <n v="1"/>
    <x v="0"/>
    <n v="0.22"/>
    <n v="0.19700000000000001"/>
    <x v="0"/>
    <n v="0.37"/>
    <x v="2"/>
    <n v="0.32840000000000003"/>
    <x v="1"/>
    <x v="19"/>
    <x v="12"/>
    <x v="55"/>
  </r>
  <r>
    <n v="149"/>
    <d v="2011-01-07T00:00:00"/>
    <x v="0"/>
    <x v="0"/>
    <x v="0"/>
    <x v="11"/>
    <x v="0"/>
    <n v="5"/>
    <x v="6"/>
    <n v="2"/>
    <x v="1"/>
    <n v="0.2"/>
    <n v="0.19700000000000001"/>
    <x v="0"/>
    <n v="0.4"/>
    <x v="1"/>
    <n v="0.22389999999999999"/>
    <x v="1"/>
    <x v="21"/>
    <x v="41"/>
    <x v="16"/>
  </r>
  <r>
    <n v="150"/>
    <d v="2011-01-07T00:00:00"/>
    <x v="0"/>
    <x v="0"/>
    <x v="0"/>
    <x v="12"/>
    <x v="0"/>
    <n v="5"/>
    <x v="6"/>
    <n v="2"/>
    <x v="1"/>
    <n v="0.2"/>
    <n v="0.19700000000000001"/>
    <x v="0"/>
    <n v="0.37"/>
    <x v="2"/>
    <n v="0.25369999999999998"/>
    <x v="1"/>
    <x v="14"/>
    <x v="54"/>
    <x v="29"/>
  </r>
  <r>
    <n v="151"/>
    <d v="2011-01-07T00:00:00"/>
    <x v="0"/>
    <x v="0"/>
    <x v="0"/>
    <x v="13"/>
    <x v="0"/>
    <n v="5"/>
    <x v="6"/>
    <n v="2"/>
    <x v="1"/>
    <n v="0.2"/>
    <n v="0.18179999999999999"/>
    <x v="0"/>
    <n v="0.37"/>
    <x v="2"/>
    <n v="0.28360000000000002"/>
    <x v="1"/>
    <x v="14"/>
    <x v="27"/>
    <x v="88"/>
  </r>
  <r>
    <n v="152"/>
    <d v="2011-01-07T00:00:00"/>
    <x v="0"/>
    <x v="0"/>
    <x v="0"/>
    <x v="14"/>
    <x v="0"/>
    <n v="5"/>
    <x v="6"/>
    <n v="2"/>
    <x v="1"/>
    <n v="0.2"/>
    <n v="0.19700000000000001"/>
    <x v="0"/>
    <n v="0.4"/>
    <x v="1"/>
    <n v="0.25369999999999998"/>
    <x v="1"/>
    <x v="18"/>
    <x v="30"/>
    <x v="89"/>
  </r>
  <r>
    <n v="153"/>
    <d v="2011-01-07T00:00:00"/>
    <x v="0"/>
    <x v="0"/>
    <x v="0"/>
    <x v="15"/>
    <x v="0"/>
    <n v="5"/>
    <x v="6"/>
    <n v="2"/>
    <x v="1"/>
    <n v="0.2"/>
    <n v="0.21210000000000001"/>
    <x v="0"/>
    <n v="0.37"/>
    <x v="2"/>
    <n v="0.16420000000000001"/>
    <x v="0"/>
    <x v="14"/>
    <x v="36"/>
    <x v="44"/>
  </r>
  <r>
    <n v="154"/>
    <d v="2011-01-07T00:00:00"/>
    <x v="0"/>
    <x v="0"/>
    <x v="0"/>
    <x v="16"/>
    <x v="0"/>
    <n v="5"/>
    <x v="6"/>
    <n v="2"/>
    <x v="1"/>
    <n v="0.2"/>
    <n v="0.21210000000000001"/>
    <x v="0"/>
    <n v="0.37"/>
    <x v="2"/>
    <n v="0.16420000000000001"/>
    <x v="0"/>
    <x v="2"/>
    <x v="70"/>
    <x v="90"/>
  </r>
  <r>
    <n v="155"/>
    <d v="2011-01-07T00:00:00"/>
    <x v="0"/>
    <x v="0"/>
    <x v="0"/>
    <x v="17"/>
    <x v="0"/>
    <n v="5"/>
    <x v="6"/>
    <n v="2"/>
    <x v="1"/>
    <n v="0.2"/>
    <n v="0.2576"/>
    <x v="0"/>
    <n v="0.37"/>
    <x v="2"/>
    <n v="0"/>
    <x v="0"/>
    <x v="14"/>
    <x v="86"/>
    <x v="91"/>
  </r>
  <r>
    <n v="156"/>
    <d v="2011-01-07T00:00:00"/>
    <x v="0"/>
    <x v="0"/>
    <x v="0"/>
    <x v="18"/>
    <x v="0"/>
    <n v="5"/>
    <x v="6"/>
    <n v="1"/>
    <x v="0"/>
    <n v="0.2"/>
    <n v="0.2273"/>
    <x v="0"/>
    <n v="0.4"/>
    <x v="1"/>
    <n v="8.9599999999999999E-2"/>
    <x v="0"/>
    <x v="18"/>
    <x v="75"/>
    <x v="92"/>
  </r>
  <r>
    <n v="157"/>
    <d v="2011-01-07T00:00:00"/>
    <x v="0"/>
    <x v="0"/>
    <x v="0"/>
    <x v="19"/>
    <x v="0"/>
    <n v="5"/>
    <x v="6"/>
    <n v="1"/>
    <x v="0"/>
    <n v="0.16"/>
    <n v="0.19700000000000001"/>
    <x v="0"/>
    <n v="0.55000000000000004"/>
    <x v="1"/>
    <n v="8.9599999999999999E-2"/>
    <x v="0"/>
    <x v="0"/>
    <x v="50"/>
    <x v="76"/>
  </r>
  <r>
    <n v="158"/>
    <d v="2011-01-07T00:00:00"/>
    <x v="0"/>
    <x v="0"/>
    <x v="0"/>
    <x v="20"/>
    <x v="0"/>
    <n v="5"/>
    <x v="6"/>
    <n v="1"/>
    <x v="0"/>
    <n v="0.18"/>
    <n v="0.21210000000000001"/>
    <x v="0"/>
    <n v="0.47"/>
    <x v="1"/>
    <n v="0.1045"/>
    <x v="0"/>
    <x v="5"/>
    <x v="54"/>
    <x v="41"/>
  </r>
  <r>
    <n v="159"/>
    <d v="2011-01-07T00:00:00"/>
    <x v="0"/>
    <x v="0"/>
    <x v="0"/>
    <x v="21"/>
    <x v="0"/>
    <n v="5"/>
    <x v="6"/>
    <n v="1"/>
    <x v="0"/>
    <n v="0.18"/>
    <n v="0.19700000000000001"/>
    <x v="0"/>
    <n v="0.47"/>
    <x v="1"/>
    <n v="0.1343"/>
    <x v="0"/>
    <x v="3"/>
    <x v="87"/>
    <x v="21"/>
  </r>
  <r>
    <n v="160"/>
    <d v="2011-01-07T00:00:00"/>
    <x v="0"/>
    <x v="0"/>
    <x v="0"/>
    <x v="22"/>
    <x v="0"/>
    <n v="5"/>
    <x v="6"/>
    <n v="2"/>
    <x v="1"/>
    <n v="0.18"/>
    <n v="0.19700000000000001"/>
    <x v="0"/>
    <n v="0.43"/>
    <x v="1"/>
    <n v="0.16420000000000001"/>
    <x v="0"/>
    <x v="4"/>
    <x v="60"/>
    <x v="9"/>
  </r>
  <r>
    <n v="161"/>
    <d v="2011-01-07T00:00:00"/>
    <x v="0"/>
    <x v="0"/>
    <x v="0"/>
    <x v="23"/>
    <x v="0"/>
    <n v="5"/>
    <x v="6"/>
    <n v="2"/>
    <x v="1"/>
    <n v="0.18"/>
    <n v="0.19700000000000001"/>
    <x v="0"/>
    <n v="0.51"/>
    <x v="1"/>
    <n v="0.16420000000000001"/>
    <x v="0"/>
    <x v="5"/>
    <x v="88"/>
    <x v="93"/>
  </r>
  <r>
    <n v="162"/>
    <d v="2011-01-08T00:00:00"/>
    <x v="0"/>
    <x v="0"/>
    <x v="0"/>
    <x v="0"/>
    <x v="0"/>
    <n v="6"/>
    <x v="0"/>
    <n v="2"/>
    <x v="1"/>
    <n v="0.18"/>
    <n v="0.19700000000000001"/>
    <x v="0"/>
    <n v="0.51"/>
    <x v="1"/>
    <n v="0.16420000000000001"/>
    <x v="0"/>
    <x v="5"/>
    <x v="9"/>
    <x v="94"/>
  </r>
  <r>
    <n v="163"/>
    <d v="2011-01-08T00:00:00"/>
    <x v="0"/>
    <x v="0"/>
    <x v="0"/>
    <x v="1"/>
    <x v="0"/>
    <n v="6"/>
    <x v="0"/>
    <n v="2"/>
    <x v="1"/>
    <n v="0.18"/>
    <n v="0.21210000000000001"/>
    <x v="0"/>
    <n v="0.55000000000000004"/>
    <x v="1"/>
    <n v="8.9599999999999999E-2"/>
    <x v="0"/>
    <x v="5"/>
    <x v="89"/>
    <x v="0"/>
  </r>
  <r>
    <n v="164"/>
    <d v="2011-01-08T00:00:00"/>
    <x v="0"/>
    <x v="0"/>
    <x v="0"/>
    <x v="2"/>
    <x v="0"/>
    <n v="6"/>
    <x v="0"/>
    <n v="2"/>
    <x v="1"/>
    <n v="0.18"/>
    <n v="0.2424"/>
    <x v="0"/>
    <n v="0.55000000000000004"/>
    <x v="1"/>
    <n v="0"/>
    <x v="0"/>
    <x v="0"/>
    <x v="0"/>
    <x v="0"/>
  </r>
  <r>
    <n v="165"/>
    <d v="2011-01-08T00:00:00"/>
    <x v="0"/>
    <x v="0"/>
    <x v="0"/>
    <x v="3"/>
    <x v="0"/>
    <n v="6"/>
    <x v="0"/>
    <n v="3"/>
    <x v="2"/>
    <n v="0.18"/>
    <n v="0.19700000000000001"/>
    <x v="0"/>
    <n v="0.55000000000000004"/>
    <x v="1"/>
    <n v="0.16420000000000001"/>
    <x v="0"/>
    <x v="3"/>
    <x v="7"/>
    <x v="85"/>
  </r>
  <r>
    <n v="166"/>
    <d v="2011-01-08T00:00:00"/>
    <x v="0"/>
    <x v="0"/>
    <x v="0"/>
    <x v="4"/>
    <x v="0"/>
    <n v="6"/>
    <x v="0"/>
    <n v="3"/>
    <x v="2"/>
    <n v="0.18"/>
    <n v="0.19700000000000001"/>
    <x v="0"/>
    <n v="0.55000000000000004"/>
    <x v="1"/>
    <n v="0.16420000000000001"/>
    <x v="0"/>
    <x v="3"/>
    <x v="4"/>
    <x v="4"/>
  </r>
  <r>
    <n v="167"/>
    <d v="2011-01-08T00:00:00"/>
    <x v="0"/>
    <x v="0"/>
    <x v="0"/>
    <x v="5"/>
    <x v="0"/>
    <n v="6"/>
    <x v="0"/>
    <n v="2"/>
    <x v="1"/>
    <n v="0.16"/>
    <n v="0.16669999999999999"/>
    <x v="0"/>
    <n v="0.74"/>
    <x v="0"/>
    <n v="0.16420000000000001"/>
    <x v="0"/>
    <x v="3"/>
    <x v="34"/>
    <x v="36"/>
  </r>
  <r>
    <n v="168"/>
    <d v="2011-01-08T00:00:00"/>
    <x v="0"/>
    <x v="0"/>
    <x v="0"/>
    <x v="6"/>
    <x v="0"/>
    <n v="6"/>
    <x v="0"/>
    <n v="2"/>
    <x v="1"/>
    <n v="0.16"/>
    <n v="0.16669999999999999"/>
    <x v="0"/>
    <n v="0.74"/>
    <x v="0"/>
    <n v="0.16420000000000001"/>
    <x v="0"/>
    <x v="3"/>
    <x v="6"/>
    <x v="5"/>
  </r>
  <r>
    <n v="169"/>
    <d v="2011-01-08T00:00:00"/>
    <x v="0"/>
    <x v="0"/>
    <x v="0"/>
    <x v="7"/>
    <x v="0"/>
    <n v="6"/>
    <x v="0"/>
    <n v="2"/>
    <x v="1"/>
    <n v="0.16"/>
    <n v="0.18179999999999999"/>
    <x v="0"/>
    <n v="0.74"/>
    <x v="0"/>
    <n v="0.1045"/>
    <x v="0"/>
    <x v="5"/>
    <x v="21"/>
    <x v="23"/>
  </r>
  <r>
    <n v="170"/>
    <d v="2011-01-08T00:00:00"/>
    <x v="0"/>
    <x v="0"/>
    <x v="0"/>
    <x v="8"/>
    <x v="0"/>
    <n v="6"/>
    <x v="0"/>
    <n v="3"/>
    <x v="2"/>
    <n v="0.16"/>
    <n v="0.18179999999999999"/>
    <x v="0"/>
    <n v="0.93"/>
    <x v="0"/>
    <n v="0.1045"/>
    <x v="0"/>
    <x v="3"/>
    <x v="89"/>
    <x v="93"/>
  </r>
  <r>
    <n v="171"/>
    <d v="2011-01-08T00:00:00"/>
    <x v="0"/>
    <x v="0"/>
    <x v="0"/>
    <x v="9"/>
    <x v="0"/>
    <n v="6"/>
    <x v="0"/>
    <n v="3"/>
    <x v="2"/>
    <n v="0.16"/>
    <n v="0.18179999999999999"/>
    <x v="0"/>
    <n v="0.93"/>
    <x v="0"/>
    <n v="0.1045"/>
    <x v="0"/>
    <x v="3"/>
    <x v="32"/>
    <x v="25"/>
  </r>
  <r>
    <n v="172"/>
    <d v="2011-01-08T00:00:00"/>
    <x v="0"/>
    <x v="0"/>
    <x v="0"/>
    <x v="10"/>
    <x v="0"/>
    <n v="6"/>
    <x v="0"/>
    <n v="2"/>
    <x v="1"/>
    <n v="0.18"/>
    <n v="0.19700000000000001"/>
    <x v="0"/>
    <n v="0.8"/>
    <x v="0"/>
    <n v="0.16420000000000001"/>
    <x v="0"/>
    <x v="2"/>
    <x v="90"/>
    <x v="42"/>
  </r>
  <r>
    <n v="173"/>
    <d v="2011-01-08T00:00:00"/>
    <x v="0"/>
    <x v="0"/>
    <x v="0"/>
    <x v="11"/>
    <x v="0"/>
    <n v="6"/>
    <x v="0"/>
    <n v="2"/>
    <x v="1"/>
    <n v="0.2"/>
    <n v="0.18179999999999999"/>
    <x v="0"/>
    <n v="0.69"/>
    <x v="1"/>
    <n v="0.3881"/>
    <x v="1"/>
    <x v="4"/>
    <x v="91"/>
    <x v="69"/>
  </r>
  <r>
    <n v="174"/>
    <d v="2011-01-08T00:00:00"/>
    <x v="0"/>
    <x v="0"/>
    <x v="0"/>
    <x v="12"/>
    <x v="0"/>
    <n v="6"/>
    <x v="0"/>
    <n v="2"/>
    <x v="1"/>
    <n v="0.2"/>
    <n v="0.18179999999999999"/>
    <x v="0"/>
    <n v="0.59"/>
    <x v="1"/>
    <n v="0.35820000000000002"/>
    <x v="1"/>
    <x v="1"/>
    <x v="92"/>
    <x v="95"/>
  </r>
  <r>
    <n v="175"/>
    <d v="2011-01-08T00:00:00"/>
    <x v="0"/>
    <x v="0"/>
    <x v="0"/>
    <x v="13"/>
    <x v="0"/>
    <n v="6"/>
    <x v="0"/>
    <n v="1"/>
    <x v="0"/>
    <n v="0.2"/>
    <n v="0.18179999999999999"/>
    <x v="0"/>
    <n v="0.44"/>
    <x v="1"/>
    <n v="0.32840000000000003"/>
    <x v="1"/>
    <x v="18"/>
    <x v="73"/>
    <x v="96"/>
  </r>
  <r>
    <n v="176"/>
    <d v="2011-01-08T00:00:00"/>
    <x v="0"/>
    <x v="0"/>
    <x v="0"/>
    <x v="14"/>
    <x v="0"/>
    <n v="6"/>
    <x v="0"/>
    <n v="1"/>
    <x v="0"/>
    <n v="0.2"/>
    <n v="0.16669999999999999"/>
    <x v="0"/>
    <n v="0.32"/>
    <x v="2"/>
    <n v="0.49249999999999999"/>
    <x v="1"/>
    <x v="6"/>
    <x v="93"/>
    <x v="76"/>
  </r>
  <r>
    <n v="177"/>
    <d v="2011-01-08T00:00:00"/>
    <x v="0"/>
    <x v="0"/>
    <x v="0"/>
    <x v="15"/>
    <x v="0"/>
    <n v="6"/>
    <x v="0"/>
    <n v="1"/>
    <x v="0"/>
    <n v="0.2"/>
    <n v="0.16669999999999999"/>
    <x v="0"/>
    <n v="0.32"/>
    <x v="2"/>
    <n v="0.44779999999999998"/>
    <x v="1"/>
    <x v="2"/>
    <x v="94"/>
    <x v="30"/>
  </r>
  <r>
    <n v="178"/>
    <d v="2011-01-08T00:00:00"/>
    <x v="0"/>
    <x v="0"/>
    <x v="0"/>
    <x v="16"/>
    <x v="0"/>
    <n v="6"/>
    <x v="0"/>
    <n v="1"/>
    <x v="0"/>
    <n v="0.18"/>
    <n v="0.13639999999999999"/>
    <x v="0"/>
    <n v="0.28999999999999998"/>
    <x v="2"/>
    <n v="0.44779999999999998"/>
    <x v="1"/>
    <x v="1"/>
    <x v="56"/>
    <x v="31"/>
  </r>
  <r>
    <n v="179"/>
    <d v="2011-01-08T00:00:00"/>
    <x v="0"/>
    <x v="0"/>
    <x v="0"/>
    <x v="17"/>
    <x v="0"/>
    <n v="6"/>
    <x v="0"/>
    <n v="1"/>
    <x v="0"/>
    <n v="0.16"/>
    <n v="0.1212"/>
    <x v="0"/>
    <n v="0.37"/>
    <x v="2"/>
    <n v="0.55220000000000002"/>
    <x v="2"/>
    <x v="2"/>
    <x v="27"/>
    <x v="83"/>
  </r>
  <r>
    <n v="180"/>
    <d v="2011-01-08T00:00:00"/>
    <x v="0"/>
    <x v="0"/>
    <x v="0"/>
    <x v="18"/>
    <x v="0"/>
    <n v="6"/>
    <x v="0"/>
    <n v="1"/>
    <x v="0"/>
    <n v="0.14000000000000001"/>
    <n v="0.1212"/>
    <x v="0"/>
    <n v="0.39"/>
    <x v="2"/>
    <n v="0.29849999999999999"/>
    <x v="1"/>
    <x v="0"/>
    <x v="15"/>
    <x v="97"/>
  </r>
  <r>
    <n v="181"/>
    <d v="2011-01-08T00:00:00"/>
    <x v="0"/>
    <x v="0"/>
    <x v="0"/>
    <x v="19"/>
    <x v="0"/>
    <n v="6"/>
    <x v="0"/>
    <n v="1"/>
    <x v="0"/>
    <n v="0.14000000000000001"/>
    <n v="0.1212"/>
    <x v="0"/>
    <n v="0.36"/>
    <x v="2"/>
    <n v="0.25369999999999998"/>
    <x v="1"/>
    <x v="17"/>
    <x v="16"/>
    <x v="33"/>
  </r>
  <r>
    <n v="182"/>
    <d v="2011-01-08T00:00:00"/>
    <x v="0"/>
    <x v="0"/>
    <x v="0"/>
    <x v="20"/>
    <x v="0"/>
    <n v="6"/>
    <x v="0"/>
    <n v="1"/>
    <x v="0"/>
    <n v="0.12"/>
    <n v="0.1212"/>
    <x v="0"/>
    <n v="0.36"/>
    <x v="2"/>
    <n v="0.25369999999999998"/>
    <x v="1"/>
    <x v="3"/>
    <x v="95"/>
    <x v="20"/>
  </r>
  <r>
    <n v="183"/>
    <d v="2011-01-08T00:00:00"/>
    <x v="0"/>
    <x v="0"/>
    <x v="0"/>
    <x v="21"/>
    <x v="0"/>
    <n v="6"/>
    <x v="0"/>
    <n v="1"/>
    <x v="0"/>
    <n v="0.12"/>
    <n v="0.1061"/>
    <x v="0"/>
    <n v="0.39"/>
    <x v="2"/>
    <n v="0.35820000000000002"/>
    <x v="1"/>
    <x v="4"/>
    <x v="96"/>
    <x v="18"/>
  </r>
  <r>
    <n v="184"/>
    <d v="2011-01-08T00:00:00"/>
    <x v="0"/>
    <x v="0"/>
    <x v="0"/>
    <x v="22"/>
    <x v="0"/>
    <n v="6"/>
    <x v="0"/>
    <n v="1"/>
    <x v="0"/>
    <n v="0.12"/>
    <n v="0.1061"/>
    <x v="0"/>
    <n v="0.36"/>
    <x v="2"/>
    <n v="0.3881"/>
    <x v="1"/>
    <x v="5"/>
    <x v="39"/>
    <x v="19"/>
  </r>
  <r>
    <n v="185"/>
    <d v="2011-01-08T00:00:00"/>
    <x v="0"/>
    <x v="0"/>
    <x v="0"/>
    <x v="23"/>
    <x v="0"/>
    <n v="6"/>
    <x v="0"/>
    <n v="1"/>
    <x v="0"/>
    <n v="0.1"/>
    <n v="6.0600000000000001E-2"/>
    <x v="0"/>
    <n v="0.39"/>
    <x v="2"/>
    <n v="0.44779999999999998"/>
    <x v="1"/>
    <x v="3"/>
    <x v="97"/>
    <x v="34"/>
  </r>
  <r>
    <n v="186"/>
    <d v="2011-01-09T00:00:00"/>
    <x v="0"/>
    <x v="0"/>
    <x v="0"/>
    <x v="0"/>
    <x v="0"/>
    <n v="0"/>
    <x v="1"/>
    <n v="1"/>
    <x v="0"/>
    <n v="0.1"/>
    <n v="7.5800000000000006E-2"/>
    <x v="0"/>
    <n v="0.42"/>
    <x v="1"/>
    <n v="0.3881"/>
    <x v="1"/>
    <x v="5"/>
    <x v="9"/>
    <x v="94"/>
  </r>
  <r>
    <n v="187"/>
    <d v="2011-01-09T00:00:00"/>
    <x v="0"/>
    <x v="0"/>
    <x v="0"/>
    <x v="1"/>
    <x v="0"/>
    <n v="0"/>
    <x v="1"/>
    <n v="1"/>
    <x v="0"/>
    <n v="0.1"/>
    <n v="6.0600000000000001E-2"/>
    <x v="0"/>
    <n v="0.42"/>
    <x v="1"/>
    <n v="0.4627"/>
    <x v="1"/>
    <x v="3"/>
    <x v="98"/>
    <x v="47"/>
  </r>
  <r>
    <n v="188"/>
    <d v="2011-01-09T00:00:00"/>
    <x v="0"/>
    <x v="0"/>
    <x v="0"/>
    <x v="2"/>
    <x v="0"/>
    <n v="0"/>
    <x v="1"/>
    <n v="1"/>
    <x v="0"/>
    <n v="0.1"/>
    <n v="6.0600000000000001E-2"/>
    <x v="0"/>
    <n v="0.46"/>
    <x v="1"/>
    <n v="0.4627"/>
    <x v="1"/>
    <x v="3"/>
    <x v="48"/>
    <x v="62"/>
  </r>
  <r>
    <n v="189"/>
    <d v="2011-01-09T00:00:00"/>
    <x v="0"/>
    <x v="0"/>
    <x v="0"/>
    <x v="3"/>
    <x v="0"/>
    <n v="0"/>
    <x v="1"/>
    <n v="1"/>
    <x v="0"/>
    <n v="0.1"/>
    <n v="7.5800000000000006E-2"/>
    <x v="0"/>
    <n v="0.46"/>
    <x v="1"/>
    <n v="0.41789999999999999"/>
    <x v="1"/>
    <x v="3"/>
    <x v="22"/>
    <x v="48"/>
  </r>
  <r>
    <n v="190"/>
    <d v="2011-01-09T00:00:00"/>
    <x v="0"/>
    <x v="0"/>
    <x v="0"/>
    <x v="4"/>
    <x v="0"/>
    <n v="0"/>
    <x v="1"/>
    <n v="1"/>
    <x v="0"/>
    <n v="0.08"/>
    <n v="9.0899999999999995E-2"/>
    <x v="0"/>
    <n v="0.53"/>
    <x v="1"/>
    <n v="0.19400000000000001"/>
    <x v="0"/>
    <x v="3"/>
    <x v="4"/>
    <x v="4"/>
  </r>
  <r>
    <n v="191"/>
    <d v="2011-01-09T00:00:00"/>
    <x v="0"/>
    <x v="0"/>
    <x v="0"/>
    <x v="5"/>
    <x v="0"/>
    <n v="0"/>
    <x v="1"/>
    <n v="1"/>
    <x v="0"/>
    <n v="0.08"/>
    <n v="9.0899999999999995E-2"/>
    <x v="0"/>
    <n v="0.53"/>
    <x v="1"/>
    <n v="0.19400000000000001"/>
    <x v="0"/>
    <x v="3"/>
    <x v="4"/>
    <x v="4"/>
  </r>
  <r>
    <n v="192"/>
    <d v="2011-01-09T00:00:00"/>
    <x v="0"/>
    <x v="0"/>
    <x v="0"/>
    <x v="6"/>
    <x v="0"/>
    <n v="0"/>
    <x v="1"/>
    <n v="1"/>
    <x v="0"/>
    <n v="0.1"/>
    <n v="9.0899999999999995E-2"/>
    <x v="0"/>
    <n v="0.49"/>
    <x v="1"/>
    <n v="0.28360000000000002"/>
    <x v="1"/>
    <x v="3"/>
    <x v="4"/>
    <x v="4"/>
  </r>
  <r>
    <n v="193"/>
    <d v="2011-01-09T00:00:00"/>
    <x v="0"/>
    <x v="0"/>
    <x v="0"/>
    <x v="7"/>
    <x v="0"/>
    <n v="0"/>
    <x v="1"/>
    <n v="1"/>
    <x v="0"/>
    <n v="0.08"/>
    <n v="9.0899999999999995E-2"/>
    <x v="0"/>
    <n v="0.53"/>
    <x v="1"/>
    <n v="0.19400000000000001"/>
    <x v="0"/>
    <x v="5"/>
    <x v="34"/>
    <x v="24"/>
  </r>
  <r>
    <n v="194"/>
    <d v="2011-01-09T00:00:00"/>
    <x v="0"/>
    <x v="0"/>
    <x v="0"/>
    <x v="8"/>
    <x v="0"/>
    <n v="0"/>
    <x v="1"/>
    <n v="1"/>
    <x v="0"/>
    <n v="0.1"/>
    <n v="9.0899999999999995E-2"/>
    <x v="0"/>
    <n v="0.49"/>
    <x v="1"/>
    <n v="0.28360000000000002"/>
    <x v="1"/>
    <x v="3"/>
    <x v="3"/>
    <x v="98"/>
  </r>
  <r>
    <n v="195"/>
    <d v="2011-01-09T00:00:00"/>
    <x v="0"/>
    <x v="0"/>
    <x v="0"/>
    <x v="9"/>
    <x v="0"/>
    <n v="0"/>
    <x v="1"/>
    <n v="1"/>
    <x v="0"/>
    <n v="0.12"/>
    <n v="7.5800000000000006E-2"/>
    <x v="0"/>
    <n v="0.46"/>
    <x v="1"/>
    <n v="0.52239999999999998"/>
    <x v="2"/>
    <x v="3"/>
    <x v="23"/>
    <x v="75"/>
  </r>
  <r>
    <n v="196"/>
    <d v="2011-01-09T00:00:00"/>
    <x v="0"/>
    <x v="0"/>
    <x v="0"/>
    <x v="10"/>
    <x v="0"/>
    <n v="0"/>
    <x v="1"/>
    <n v="1"/>
    <x v="0"/>
    <n v="0.14000000000000001"/>
    <n v="0.1061"/>
    <x v="0"/>
    <n v="0.43"/>
    <x v="1"/>
    <n v="0.3881"/>
    <x v="1"/>
    <x v="3"/>
    <x v="47"/>
    <x v="99"/>
  </r>
  <r>
    <n v="197"/>
    <d v="2011-01-09T00:00:00"/>
    <x v="0"/>
    <x v="0"/>
    <x v="0"/>
    <x v="11"/>
    <x v="0"/>
    <n v="0"/>
    <x v="1"/>
    <n v="1"/>
    <x v="0"/>
    <n v="0.16"/>
    <n v="0.1212"/>
    <x v="0"/>
    <n v="0.4"/>
    <x v="1"/>
    <n v="0.52239999999999998"/>
    <x v="2"/>
    <x v="4"/>
    <x v="12"/>
    <x v="99"/>
  </r>
  <r>
    <n v="198"/>
    <d v="2011-01-09T00:00:00"/>
    <x v="0"/>
    <x v="0"/>
    <x v="0"/>
    <x v="12"/>
    <x v="0"/>
    <n v="0"/>
    <x v="1"/>
    <n v="1"/>
    <x v="0"/>
    <n v="0.18"/>
    <n v="0.13639999999999999"/>
    <x v="0"/>
    <n v="0.37"/>
    <x v="2"/>
    <n v="0.44779999999999998"/>
    <x v="1"/>
    <x v="17"/>
    <x v="55"/>
    <x v="56"/>
  </r>
  <r>
    <n v="199"/>
    <d v="2011-01-09T00:00:00"/>
    <x v="0"/>
    <x v="0"/>
    <x v="0"/>
    <x v="13"/>
    <x v="0"/>
    <n v="0"/>
    <x v="1"/>
    <n v="1"/>
    <x v="0"/>
    <n v="0.2"/>
    <n v="0.16669999999999999"/>
    <x v="0"/>
    <n v="0.34"/>
    <x v="2"/>
    <n v="0.44779999999999998"/>
    <x v="1"/>
    <x v="15"/>
    <x v="94"/>
    <x v="28"/>
  </r>
  <r>
    <n v="200"/>
    <d v="2011-01-09T00:00:00"/>
    <x v="0"/>
    <x v="0"/>
    <x v="0"/>
    <x v="14"/>
    <x v="0"/>
    <n v="0"/>
    <x v="1"/>
    <n v="1"/>
    <x v="0"/>
    <n v="0.22"/>
    <n v="0.18179999999999999"/>
    <x v="0"/>
    <n v="0.32"/>
    <x v="2"/>
    <n v="0.4627"/>
    <x v="1"/>
    <x v="1"/>
    <x v="27"/>
    <x v="44"/>
  </r>
  <r>
    <n v="201"/>
    <d v="2011-01-09T00:00:00"/>
    <x v="0"/>
    <x v="0"/>
    <x v="0"/>
    <x v="15"/>
    <x v="0"/>
    <n v="0"/>
    <x v="1"/>
    <n v="1"/>
    <x v="0"/>
    <n v="0.22"/>
    <n v="0.19700000000000001"/>
    <x v="0"/>
    <n v="0.35"/>
    <x v="2"/>
    <n v="0.35820000000000002"/>
    <x v="1"/>
    <x v="2"/>
    <x v="99"/>
    <x v="100"/>
  </r>
  <r>
    <n v="202"/>
    <d v="2011-01-09T00:00:00"/>
    <x v="0"/>
    <x v="0"/>
    <x v="0"/>
    <x v="16"/>
    <x v="0"/>
    <n v="0"/>
    <x v="1"/>
    <n v="1"/>
    <x v="0"/>
    <n v="0.2"/>
    <n v="0.16669999999999999"/>
    <x v="0"/>
    <n v="0.34"/>
    <x v="2"/>
    <n v="0.44779999999999998"/>
    <x v="1"/>
    <x v="23"/>
    <x v="55"/>
    <x v="101"/>
  </r>
  <r>
    <n v="203"/>
    <d v="2011-01-09T00:00:00"/>
    <x v="0"/>
    <x v="0"/>
    <x v="0"/>
    <x v="17"/>
    <x v="0"/>
    <n v="0"/>
    <x v="1"/>
    <n v="1"/>
    <x v="0"/>
    <n v="0.18"/>
    <n v="0.1515"/>
    <x v="0"/>
    <n v="0.37"/>
    <x v="2"/>
    <n v="0.3881"/>
    <x v="1"/>
    <x v="0"/>
    <x v="79"/>
    <x v="69"/>
  </r>
  <r>
    <n v="204"/>
    <d v="2011-01-09T00:00:00"/>
    <x v="0"/>
    <x v="0"/>
    <x v="0"/>
    <x v="18"/>
    <x v="0"/>
    <n v="0"/>
    <x v="1"/>
    <n v="1"/>
    <x v="0"/>
    <n v="0.16"/>
    <n v="0.13639999999999999"/>
    <x v="0"/>
    <n v="0.4"/>
    <x v="1"/>
    <n v="0.32840000000000003"/>
    <x v="1"/>
    <x v="17"/>
    <x v="100"/>
    <x v="61"/>
  </r>
  <r>
    <n v="205"/>
    <d v="2011-01-09T00:00:00"/>
    <x v="0"/>
    <x v="0"/>
    <x v="0"/>
    <x v="19"/>
    <x v="0"/>
    <n v="0"/>
    <x v="1"/>
    <n v="1"/>
    <x v="0"/>
    <n v="0.16"/>
    <n v="0.13639999999999999"/>
    <x v="0"/>
    <n v="0.43"/>
    <x v="1"/>
    <n v="0.32840000000000003"/>
    <x v="1"/>
    <x v="5"/>
    <x v="71"/>
    <x v="102"/>
  </r>
  <r>
    <n v="206"/>
    <d v="2011-01-09T00:00:00"/>
    <x v="0"/>
    <x v="0"/>
    <x v="0"/>
    <x v="20"/>
    <x v="0"/>
    <n v="0"/>
    <x v="1"/>
    <n v="1"/>
    <x v="0"/>
    <n v="0.14000000000000001"/>
    <n v="0.1212"/>
    <x v="0"/>
    <n v="0.46"/>
    <x v="1"/>
    <n v="0.25369999999999998"/>
    <x v="1"/>
    <x v="3"/>
    <x v="101"/>
    <x v="103"/>
  </r>
  <r>
    <n v="207"/>
    <d v="2011-01-09T00:00:00"/>
    <x v="0"/>
    <x v="0"/>
    <x v="0"/>
    <x v="21"/>
    <x v="0"/>
    <n v="0"/>
    <x v="1"/>
    <n v="1"/>
    <x v="0"/>
    <n v="0.14000000000000001"/>
    <n v="0.1061"/>
    <x v="0"/>
    <n v="0.46"/>
    <x v="1"/>
    <n v="0.41789999999999999"/>
    <x v="1"/>
    <x v="5"/>
    <x v="23"/>
    <x v="25"/>
  </r>
  <r>
    <n v="208"/>
    <d v="2011-01-09T00:00:00"/>
    <x v="0"/>
    <x v="0"/>
    <x v="0"/>
    <x v="22"/>
    <x v="0"/>
    <n v="0"/>
    <x v="1"/>
    <n v="1"/>
    <x v="0"/>
    <n v="0.14000000000000001"/>
    <n v="0.1212"/>
    <x v="0"/>
    <n v="0.46"/>
    <x v="1"/>
    <n v="0.29849999999999999"/>
    <x v="1"/>
    <x v="2"/>
    <x v="3"/>
    <x v="93"/>
  </r>
  <r>
    <n v="209"/>
    <d v="2011-01-09T00:00:00"/>
    <x v="0"/>
    <x v="0"/>
    <x v="0"/>
    <x v="23"/>
    <x v="0"/>
    <n v="0"/>
    <x v="1"/>
    <n v="1"/>
    <x v="0"/>
    <n v="0.12"/>
    <n v="0.13639999999999999"/>
    <x v="0"/>
    <n v="0.5"/>
    <x v="1"/>
    <n v="0.19400000000000001"/>
    <x v="0"/>
    <x v="3"/>
    <x v="8"/>
    <x v="24"/>
  </r>
  <r>
    <n v="210"/>
    <d v="2011-01-10T00:00:00"/>
    <x v="0"/>
    <x v="0"/>
    <x v="0"/>
    <x v="0"/>
    <x v="0"/>
    <n v="1"/>
    <x v="2"/>
    <n v="1"/>
    <x v="0"/>
    <n v="0.12"/>
    <n v="0.1212"/>
    <x v="0"/>
    <n v="0.5"/>
    <x v="1"/>
    <n v="0.28360000000000002"/>
    <x v="1"/>
    <x v="4"/>
    <x v="35"/>
    <x v="36"/>
  </r>
  <r>
    <n v="211"/>
    <d v="2011-01-10T00:00:00"/>
    <x v="0"/>
    <x v="0"/>
    <x v="0"/>
    <x v="1"/>
    <x v="0"/>
    <n v="1"/>
    <x v="2"/>
    <n v="1"/>
    <x v="0"/>
    <n v="0.12"/>
    <n v="0.1212"/>
    <x v="0"/>
    <n v="0.5"/>
    <x v="1"/>
    <n v="0.28360000000000002"/>
    <x v="1"/>
    <x v="5"/>
    <x v="5"/>
    <x v="4"/>
  </r>
  <r>
    <n v="212"/>
    <d v="2011-01-10T00:00:00"/>
    <x v="0"/>
    <x v="0"/>
    <x v="0"/>
    <x v="2"/>
    <x v="0"/>
    <n v="1"/>
    <x v="2"/>
    <n v="1"/>
    <x v="0"/>
    <n v="0.12"/>
    <n v="0.1212"/>
    <x v="0"/>
    <n v="0.5"/>
    <x v="1"/>
    <n v="0.22389999999999999"/>
    <x v="1"/>
    <x v="3"/>
    <x v="35"/>
    <x v="6"/>
  </r>
  <r>
    <n v="213"/>
    <d v="2011-01-10T00:00:00"/>
    <x v="0"/>
    <x v="0"/>
    <x v="0"/>
    <x v="3"/>
    <x v="0"/>
    <n v="1"/>
    <x v="2"/>
    <n v="1"/>
    <x v="0"/>
    <n v="0.12"/>
    <n v="0.1212"/>
    <x v="0"/>
    <n v="0.5"/>
    <x v="1"/>
    <n v="0.22389999999999999"/>
    <x v="1"/>
    <x v="3"/>
    <x v="4"/>
    <x v="4"/>
  </r>
  <r>
    <n v="214"/>
    <d v="2011-01-10T00:00:00"/>
    <x v="0"/>
    <x v="0"/>
    <x v="0"/>
    <x v="4"/>
    <x v="0"/>
    <n v="1"/>
    <x v="2"/>
    <n v="1"/>
    <x v="0"/>
    <n v="0.1"/>
    <n v="0.1212"/>
    <x v="0"/>
    <n v="0.54"/>
    <x v="1"/>
    <n v="0.1343"/>
    <x v="0"/>
    <x v="5"/>
    <x v="6"/>
    <x v="6"/>
  </r>
  <r>
    <n v="215"/>
    <d v="2011-01-10T00:00:00"/>
    <x v="0"/>
    <x v="0"/>
    <x v="0"/>
    <x v="5"/>
    <x v="0"/>
    <n v="1"/>
    <x v="2"/>
    <n v="1"/>
    <x v="0"/>
    <n v="0.1"/>
    <n v="0.1061"/>
    <x v="0"/>
    <n v="0.54"/>
    <x v="1"/>
    <n v="0.25369999999999998"/>
    <x v="1"/>
    <x v="3"/>
    <x v="35"/>
    <x v="6"/>
  </r>
  <r>
    <n v="216"/>
    <d v="2011-01-10T00:00:00"/>
    <x v="0"/>
    <x v="0"/>
    <x v="0"/>
    <x v="6"/>
    <x v="0"/>
    <n v="1"/>
    <x v="2"/>
    <n v="1"/>
    <x v="0"/>
    <n v="0.12"/>
    <n v="0.1212"/>
    <x v="0"/>
    <n v="0.5"/>
    <x v="1"/>
    <n v="0.28360000000000002"/>
    <x v="1"/>
    <x v="3"/>
    <x v="17"/>
    <x v="35"/>
  </r>
  <r>
    <n v="217"/>
    <d v="2011-01-10T00:00:00"/>
    <x v="0"/>
    <x v="0"/>
    <x v="0"/>
    <x v="7"/>
    <x v="0"/>
    <n v="1"/>
    <x v="2"/>
    <n v="1"/>
    <x v="0"/>
    <n v="0.12"/>
    <n v="0.1212"/>
    <x v="0"/>
    <n v="0.5"/>
    <x v="1"/>
    <n v="0.22389999999999999"/>
    <x v="1"/>
    <x v="4"/>
    <x v="102"/>
    <x v="43"/>
  </r>
  <r>
    <n v="218"/>
    <d v="2011-01-10T00:00:00"/>
    <x v="0"/>
    <x v="0"/>
    <x v="0"/>
    <x v="8"/>
    <x v="0"/>
    <n v="1"/>
    <x v="2"/>
    <n v="2"/>
    <x v="1"/>
    <n v="0.12"/>
    <n v="0.1212"/>
    <x v="0"/>
    <n v="0.5"/>
    <x v="1"/>
    <n v="0.28360000000000002"/>
    <x v="1"/>
    <x v="17"/>
    <x v="103"/>
    <x v="104"/>
  </r>
  <r>
    <n v="219"/>
    <d v="2011-01-10T00:00:00"/>
    <x v="0"/>
    <x v="0"/>
    <x v="0"/>
    <x v="9"/>
    <x v="0"/>
    <n v="1"/>
    <x v="2"/>
    <n v="2"/>
    <x v="1"/>
    <n v="0.14000000000000001"/>
    <n v="0.1212"/>
    <x v="0"/>
    <n v="0.5"/>
    <x v="1"/>
    <n v="0.25369999999999998"/>
    <x v="1"/>
    <x v="4"/>
    <x v="50"/>
    <x v="12"/>
  </r>
  <r>
    <n v="220"/>
    <d v="2011-01-10T00:00:00"/>
    <x v="0"/>
    <x v="0"/>
    <x v="0"/>
    <x v="10"/>
    <x v="0"/>
    <n v="1"/>
    <x v="2"/>
    <n v="2"/>
    <x v="1"/>
    <n v="0.14000000000000001"/>
    <n v="0.1212"/>
    <x v="0"/>
    <n v="0.5"/>
    <x v="1"/>
    <n v="0.29849999999999999"/>
    <x v="1"/>
    <x v="3"/>
    <x v="17"/>
    <x v="35"/>
  </r>
  <r>
    <n v="221"/>
    <d v="2011-01-10T00:00:00"/>
    <x v="0"/>
    <x v="0"/>
    <x v="0"/>
    <x v="11"/>
    <x v="0"/>
    <n v="1"/>
    <x v="2"/>
    <n v="2"/>
    <x v="1"/>
    <n v="0.16"/>
    <n v="0.13639999999999999"/>
    <x v="0"/>
    <n v="0.47"/>
    <x v="1"/>
    <n v="0.28360000000000002"/>
    <x v="1"/>
    <x v="4"/>
    <x v="95"/>
    <x v="33"/>
  </r>
  <r>
    <n v="222"/>
    <d v="2011-01-10T00:00:00"/>
    <x v="0"/>
    <x v="0"/>
    <x v="0"/>
    <x v="12"/>
    <x v="0"/>
    <n v="1"/>
    <x v="2"/>
    <n v="2"/>
    <x v="1"/>
    <n v="0.2"/>
    <n v="0.18179999999999999"/>
    <x v="0"/>
    <n v="0.4"/>
    <x v="1"/>
    <n v="0.28360000000000002"/>
    <x v="1"/>
    <x v="2"/>
    <x v="12"/>
    <x v="46"/>
  </r>
  <r>
    <n v="223"/>
    <d v="2011-01-10T00:00:00"/>
    <x v="0"/>
    <x v="0"/>
    <x v="0"/>
    <x v="13"/>
    <x v="0"/>
    <n v="1"/>
    <x v="2"/>
    <n v="2"/>
    <x v="1"/>
    <n v="0.2"/>
    <n v="0.18179999999999999"/>
    <x v="0"/>
    <n v="0.4"/>
    <x v="1"/>
    <n v="0.28360000000000002"/>
    <x v="1"/>
    <x v="17"/>
    <x v="54"/>
    <x v="60"/>
  </r>
  <r>
    <n v="224"/>
    <d v="2011-01-10T00:00:00"/>
    <x v="0"/>
    <x v="0"/>
    <x v="0"/>
    <x v="14"/>
    <x v="0"/>
    <n v="1"/>
    <x v="2"/>
    <n v="2"/>
    <x v="1"/>
    <n v="0.2"/>
    <n v="0.19700000000000001"/>
    <x v="0"/>
    <n v="0.4"/>
    <x v="1"/>
    <n v="0.22389999999999999"/>
    <x v="1"/>
    <x v="3"/>
    <x v="12"/>
    <x v="105"/>
  </r>
  <r>
    <n v="225"/>
    <d v="2011-01-10T00:00:00"/>
    <x v="0"/>
    <x v="0"/>
    <x v="0"/>
    <x v="15"/>
    <x v="0"/>
    <n v="1"/>
    <x v="2"/>
    <n v="2"/>
    <x v="1"/>
    <n v="0.2"/>
    <n v="0.19700000000000001"/>
    <x v="0"/>
    <n v="0.4"/>
    <x v="1"/>
    <n v="0.22389999999999999"/>
    <x v="1"/>
    <x v="4"/>
    <x v="30"/>
    <x v="79"/>
  </r>
  <r>
    <n v="226"/>
    <d v="2011-01-10T00:00:00"/>
    <x v="0"/>
    <x v="0"/>
    <x v="0"/>
    <x v="16"/>
    <x v="0"/>
    <n v="1"/>
    <x v="2"/>
    <n v="1"/>
    <x v="0"/>
    <n v="0.2"/>
    <n v="0.21210000000000001"/>
    <x v="0"/>
    <n v="0.4"/>
    <x v="1"/>
    <n v="0.1343"/>
    <x v="0"/>
    <x v="17"/>
    <x v="14"/>
    <x v="30"/>
  </r>
  <r>
    <n v="227"/>
    <d v="2011-01-10T00:00:00"/>
    <x v="0"/>
    <x v="0"/>
    <x v="0"/>
    <x v="17"/>
    <x v="0"/>
    <n v="1"/>
    <x v="2"/>
    <n v="1"/>
    <x v="0"/>
    <n v="0.2"/>
    <n v="0.2273"/>
    <x v="0"/>
    <n v="0.4"/>
    <x v="1"/>
    <n v="0.1045"/>
    <x v="0"/>
    <x v="17"/>
    <x v="104"/>
    <x v="106"/>
  </r>
  <r>
    <n v="228"/>
    <d v="2011-01-10T00:00:00"/>
    <x v="0"/>
    <x v="0"/>
    <x v="0"/>
    <x v="18"/>
    <x v="0"/>
    <n v="1"/>
    <x v="2"/>
    <n v="1"/>
    <x v="0"/>
    <n v="0.2"/>
    <n v="0.19700000000000001"/>
    <x v="0"/>
    <n v="0.4"/>
    <x v="1"/>
    <n v="0.22389999999999999"/>
    <x v="1"/>
    <x v="5"/>
    <x v="105"/>
    <x v="107"/>
  </r>
  <r>
    <n v="229"/>
    <d v="2011-01-10T00:00:00"/>
    <x v="0"/>
    <x v="0"/>
    <x v="0"/>
    <x v="19"/>
    <x v="0"/>
    <n v="1"/>
    <x v="2"/>
    <n v="1"/>
    <x v="0"/>
    <n v="0.16"/>
    <n v="0.16669999999999999"/>
    <x v="0"/>
    <n v="0.47"/>
    <x v="1"/>
    <n v="0.16420000000000001"/>
    <x v="0"/>
    <x v="0"/>
    <x v="50"/>
    <x v="76"/>
  </r>
  <r>
    <n v="230"/>
    <d v="2011-01-10T00:00:00"/>
    <x v="0"/>
    <x v="0"/>
    <x v="0"/>
    <x v="20"/>
    <x v="0"/>
    <n v="1"/>
    <x v="2"/>
    <n v="1"/>
    <x v="0"/>
    <n v="0.16"/>
    <n v="0.16669999999999999"/>
    <x v="0"/>
    <n v="0.5"/>
    <x v="1"/>
    <n v="0.16420000000000001"/>
    <x v="0"/>
    <x v="5"/>
    <x v="26"/>
    <x v="30"/>
  </r>
  <r>
    <n v="231"/>
    <d v="2011-01-10T00:00:00"/>
    <x v="0"/>
    <x v="0"/>
    <x v="0"/>
    <x v="21"/>
    <x v="0"/>
    <n v="1"/>
    <x v="2"/>
    <n v="1"/>
    <x v="0"/>
    <n v="0.14000000000000001"/>
    <n v="0.13639999999999999"/>
    <x v="0"/>
    <n v="0.59"/>
    <x v="1"/>
    <n v="0.19400000000000001"/>
    <x v="0"/>
    <x v="5"/>
    <x v="53"/>
    <x v="103"/>
  </r>
  <r>
    <n v="232"/>
    <d v="2011-01-10T00:00:00"/>
    <x v="0"/>
    <x v="0"/>
    <x v="0"/>
    <x v="22"/>
    <x v="0"/>
    <n v="1"/>
    <x v="2"/>
    <n v="1"/>
    <x v="0"/>
    <n v="0.14000000000000001"/>
    <n v="0.1515"/>
    <x v="0"/>
    <n v="0.59"/>
    <x v="1"/>
    <n v="0.16420000000000001"/>
    <x v="0"/>
    <x v="4"/>
    <x v="97"/>
    <x v="108"/>
  </r>
  <r>
    <n v="233"/>
    <d v="2011-01-10T00:00:00"/>
    <x v="0"/>
    <x v="0"/>
    <x v="0"/>
    <x v="23"/>
    <x v="0"/>
    <n v="1"/>
    <x v="2"/>
    <n v="1"/>
    <x v="0"/>
    <n v="0.14000000000000001"/>
    <n v="0.1515"/>
    <x v="0"/>
    <n v="0.59"/>
    <x v="1"/>
    <n v="0.16420000000000001"/>
    <x v="0"/>
    <x v="3"/>
    <x v="72"/>
    <x v="109"/>
  </r>
  <r>
    <n v="234"/>
    <d v="2011-01-11T00:00:00"/>
    <x v="0"/>
    <x v="0"/>
    <x v="0"/>
    <x v="0"/>
    <x v="0"/>
    <n v="2"/>
    <x v="3"/>
    <n v="1"/>
    <x v="0"/>
    <n v="0.14000000000000001"/>
    <n v="0.16669999999999999"/>
    <x v="0"/>
    <n v="0.59"/>
    <x v="1"/>
    <n v="0.1045"/>
    <x v="0"/>
    <x v="4"/>
    <x v="3"/>
    <x v="47"/>
  </r>
  <r>
    <n v="235"/>
    <d v="2011-01-11T00:00:00"/>
    <x v="0"/>
    <x v="0"/>
    <x v="0"/>
    <x v="1"/>
    <x v="0"/>
    <n v="2"/>
    <x v="3"/>
    <n v="1"/>
    <x v="0"/>
    <n v="0.14000000000000001"/>
    <n v="0.1515"/>
    <x v="0"/>
    <n v="0.59"/>
    <x v="1"/>
    <n v="0.16420000000000001"/>
    <x v="0"/>
    <x v="3"/>
    <x v="35"/>
    <x v="6"/>
  </r>
  <r>
    <n v="236"/>
    <d v="2011-01-11T00:00:00"/>
    <x v="0"/>
    <x v="0"/>
    <x v="0"/>
    <x v="2"/>
    <x v="0"/>
    <n v="2"/>
    <x v="3"/>
    <n v="2"/>
    <x v="1"/>
    <n v="0.16"/>
    <n v="0.1515"/>
    <x v="0"/>
    <n v="0.55000000000000004"/>
    <x v="1"/>
    <n v="0.19400000000000001"/>
    <x v="0"/>
    <x v="3"/>
    <x v="35"/>
    <x v="6"/>
  </r>
  <r>
    <n v="237"/>
    <d v="2011-01-11T00:00:00"/>
    <x v="0"/>
    <x v="0"/>
    <x v="0"/>
    <x v="5"/>
    <x v="0"/>
    <n v="2"/>
    <x v="3"/>
    <n v="2"/>
    <x v="1"/>
    <n v="0.16"/>
    <n v="0.18179999999999999"/>
    <x v="0"/>
    <n v="0.55000000000000004"/>
    <x v="1"/>
    <n v="0.1343"/>
    <x v="0"/>
    <x v="3"/>
    <x v="8"/>
    <x v="24"/>
  </r>
  <r>
    <n v="238"/>
    <d v="2011-01-11T00:00:00"/>
    <x v="0"/>
    <x v="0"/>
    <x v="0"/>
    <x v="6"/>
    <x v="0"/>
    <n v="2"/>
    <x v="3"/>
    <n v="2"/>
    <x v="1"/>
    <n v="0.16"/>
    <n v="0.18179999999999999"/>
    <x v="0"/>
    <n v="0.55000000000000004"/>
    <x v="1"/>
    <n v="0.1343"/>
    <x v="0"/>
    <x v="3"/>
    <x v="2"/>
    <x v="110"/>
  </r>
  <r>
    <n v="239"/>
    <d v="2011-01-11T00:00:00"/>
    <x v="0"/>
    <x v="0"/>
    <x v="0"/>
    <x v="7"/>
    <x v="0"/>
    <n v="2"/>
    <x v="3"/>
    <n v="2"/>
    <x v="1"/>
    <n v="0.16"/>
    <n v="0.2273"/>
    <x v="0"/>
    <n v="0.55000000000000004"/>
    <x v="1"/>
    <n v="0"/>
    <x v="0"/>
    <x v="4"/>
    <x v="106"/>
    <x v="111"/>
  </r>
  <r>
    <n v="240"/>
    <d v="2011-01-11T00:00:00"/>
    <x v="0"/>
    <x v="0"/>
    <x v="0"/>
    <x v="8"/>
    <x v="0"/>
    <n v="2"/>
    <x v="3"/>
    <n v="2"/>
    <x v="1"/>
    <n v="0.18"/>
    <n v="0.21210000000000001"/>
    <x v="0"/>
    <n v="0.51"/>
    <x v="1"/>
    <n v="8.9599999999999999E-2"/>
    <x v="0"/>
    <x v="0"/>
    <x v="107"/>
    <x v="112"/>
  </r>
  <r>
    <n v="241"/>
    <d v="2011-01-11T00:00:00"/>
    <x v="0"/>
    <x v="0"/>
    <x v="0"/>
    <x v="9"/>
    <x v="0"/>
    <n v="2"/>
    <x v="3"/>
    <n v="2"/>
    <x v="1"/>
    <n v="0.18"/>
    <n v="0.19700000000000001"/>
    <x v="0"/>
    <n v="0.51"/>
    <x v="1"/>
    <n v="0.16420000000000001"/>
    <x v="0"/>
    <x v="0"/>
    <x v="69"/>
    <x v="113"/>
  </r>
  <r>
    <n v="242"/>
    <d v="2011-01-11T00:00:00"/>
    <x v="0"/>
    <x v="0"/>
    <x v="0"/>
    <x v="10"/>
    <x v="0"/>
    <n v="2"/>
    <x v="3"/>
    <n v="2"/>
    <x v="1"/>
    <n v="0.2"/>
    <n v="0.21210000000000001"/>
    <x v="0"/>
    <n v="0.51"/>
    <x v="1"/>
    <n v="0.16420000000000001"/>
    <x v="0"/>
    <x v="0"/>
    <x v="82"/>
    <x v="60"/>
  </r>
  <r>
    <n v="243"/>
    <d v="2011-01-11T00:00:00"/>
    <x v="0"/>
    <x v="0"/>
    <x v="0"/>
    <x v="11"/>
    <x v="0"/>
    <n v="2"/>
    <x v="3"/>
    <n v="2"/>
    <x v="1"/>
    <n v="0.2"/>
    <n v="0.21210000000000001"/>
    <x v="0"/>
    <n v="0.47"/>
    <x v="1"/>
    <n v="0.1343"/>
    <x v="0"/>
    <x v="17"/>
    <x v="17"/>
    <x v="17"/>
  </r>
  <r>
    <n v="244"/>
    <d v="2011-01-11T00:00:00"/>
    <x v="0"/>
    <x v="0"/>
    <x v="0"/>
    <x v="12"/>
    <x v="0"/>
    <n v="2"/>
    <x v="3"/>
    <n v="2"/>
    <x v="1"/>
    <n v="0.2"/>
    <n v="0.2273"/>
    <x v="0"/>
    <n v="0.51"/>
    <x v="1"/>
    <n v="0.1045"/>
    <x v="0"/>
    <x v="4"/>
    <x v="11"/>
    <x v="52"/>
  </r>
  <r>
    <n v="245"/>
    <d v="2011-01-11T00:00:00"/>
    <x v="0"/>
    <x v="0"/>
    <x v="0"/>
    <x v="13"/>
    <x v="0"/>
    <n v="2"/>
    <x v="3"/>
    <n v="2"/>
    <x v="1"/>
    <n v="0.2"/>
    <n v="0.2273"/>
    <x v="0"/>
    <n v="0.59"/>
    <x v="1"/>
    <n v="8.9599999999999999E-2"/>
    <x v="0"/>
    <x v="15"/>
    <x v="24"/>
    <x v="46"/>
  </r>
  <r>
    <n v="246"/>
    <d v="2011-01-11T00:00:00"/>
    <x v="0"/>
    <x v="0"/>
    <x v="0"/>
    <x v="14"/>
    <x v="0"/>
    <n v="2"/>
    <x v="3"/>
    <n v="2"/>
    <x v="1"/>
    <n v="0.2"/>
    <n v="0.2273"/>
    <x v="0"/>
    <n v="0.59"/>
    <x v="1"/>
    <n v="8.9599999999999999E-2"/>
    <x v="0"/>
    <x v="0"/>
    <x v="91"/>
    <x v="55"/>
  </r>
  <r>
    <n v="247"/>
    <d v="2011-01-11T00:00:00"/>
    <x v="0"/>
    <x v="0"/>
    <x v="0"/>
    <x v="15"/>
    <x v="0"/>
    <n v="2"/>
    <x v="3"/>
    <n v="2"/>
    <x v="1"/>
    <n v="0.16"/>
    <n v="0.19700000000000001"/>
    <x v="0"/>
    <n v="0.8"/>
    <x v="0"/>
    <n v="8.9599999999999999E-2"/>
    <x v="0"/>
    <x v="4"/>
    <x v="108"/>
    <x v="105"/>
  </r>
  <r>
    <n v="248"/>
    <d v="2011-01-11T00:00:00"/>
    <x v="0"/>
    <x v="0"/>
    <x v="0"/>
    <x v="16"/>
    <x v="0"/>
    <n v="2"/>
    <x v="3"/>
    <n v="2"/>
    <x v="1"/>
    <n v="0.16"/>
    <n v="0.1515"/>
    <x v="0"/>
    <n v="0.86"/>
    <x v="0"/>
    <n v="0.22389999999999999"/>
    <x v="1"/>
    <x v="17"/>
    <x v="109"/>
    <x v="31"/>
  </r>
  <r>
    <n v="249"/>
    <d v="2011-01-11T00:00:00"/>
    <x v="0"/>
    <x v="0"/>
    <x v="0"/>
    <x v="17"/>
    <x v="0"/>
    <n v="2"/>
    <x v="3"/>
    <n v="2"/>
    <x v="1"/>
    <n v="0.16"/>
    <n v="0.1515"/>
    <x v="0"/>
    <n v="0.86"/>
    <x v="0"/>
    <n v="0.22389999999999999"/>
    <x v="1"/>
    <x v="15"/>
    <x v="110"/>
    <x v="114"/>
  </r>
  <r>
    <n v="250"/>
    <d v="2011-01-11T00:00:00"/>
    <x v="0"/>
    <x v="0"/>
    <x v="0"/>
    <x v="18"/>
    <x v="0"/>
    <n v="2"/>
    <x v="3"/>
    <n v="3"/>
    <x v="2"/>
    <n v="0.16"/>
    <n v="0.18179999999999999"/>
    <x v="0"/>
    <n v="0.93"/>
    <x v="0"/>
    <n v="0.1045"/>
    <x v="0"/>
    <x v="5"/>
    <x v="111"/>
    <x v="76"/>
  </r>
  <r>
    <n v="251"/>
    <d v="2011-01-11T00:00:00"/>
    <x v="0"/>
    <x v="0"/>
    <x v="0"/>
    <x v="19"/>
    <x v="0"/>
    <n v="2"/>
    <x v="3"/>
    <n v="3"/>
    <x v="2"/>
    <n v="0.16"/>
    <n v="0.2273"/>
    <x v="0"/>
    <n v="0.93"/>
    <x v="0"/>
    <n v="0"/>
    <x v="0"/>
    <x v="3"/>
    <x v="82"/>
    <x v="41"/>
  </r>
  <r>
    <n v="252"/>
    <d v="2011-01-11T00:00:00"/>
    <x v="0"/>
    <x v="0"/>
    <x v="0"/>
    <x v="20"/>
    <x v="0"/>
    <n v="2"/>
    <x v="3"/>
    <n v="3"/>
    <x v="2"/>
    <n v="0.16"/>
    <n v="0.1515"/>
    <x v="0"/>
    <n v="0.93"/>
    <x v="0"/>
    <n v="0.19400000000000001"/>
    <x v="0"/>
    <x v="3"/>
    <x v="1"/>
    <x v="2"/>
  </r>
  <r>
    <n v="253"/>
    <d v="2011-01-11T00:00:00"/>
    <x v="0"/>
    <x v="0"/>
    <x v="0"/>
    <x v="21"/>
    <x v="0"/>
    <n v="2"/>
    <x v="3"/>
    <n v="3"/>
    <x v="2"/>
    <n v="0.16"/>
    <n v="0.19700000000000001"/>
    <x v="0"/>
    <n v="0.86"/>
    <x v="0"/>
    <n v="8.9599999999999999E-2"/>
    <x v="0"/>
    <x v="3"/>
    <x v="32"/>
    <x v="25"/>
  </r>
  <r>
    <n v="254"/>
    <d v="2011-01-11T00:00:00"/>
    <x v="0"/>
    <x v="0"/>
    <x v="0"/>
    <x v="22"/>
    <x v="0"/>
    <n v="2"/>
    <x v="3"/>
    <n v="3"/>
    <x v="2"/>
    <n v="0.16"/>
    <n v="0.18179999999999999"/>
    <x v="0"/>
    <n v="0.93"/>
    <x v="0"/>
    <n v="0.1045"/>
    <x v="0"/>
    <x v="5"/>
    <x v="95"/>
    <x v="115"/>
  </r>
  <r>
    <n v="255"/>
    <d v="2011-01-11T00:00:00"/>
    <x v="0"/>
    <x v="0"/>
    <x v="0"/>
    <x v="23"/>
    <x v="0"/>
    <n v="2"/>
    <x v="3"/>
    <n v="3"/>
    <x v="2"/>
    <n v="0.16"/>
    <n v="0.19700000000000001"/>
    <x v="0"/>
    <n v="0.93"/>
    <x v="0"/>
    <n v="8.9599999999999999E-2"/>
    <x v="0"/>
    <x v="5"/>
    <x v="72"/>
    <x v="75"/>
  </r>
  <r>
    <n v="256"/>
    <d v="2011-01-12T00:00:00"/>
    <x v="0"/>
    <x v="0"/>
    <x v="0"/>
    <x v="0"/>
    <x v="0"/>
    <n v="3"/>
    <x v="4"/>
    <n v="2"/>
    <x v="1"/>
    <n v="0.16"/>
    <n v="0.19700000000000001"/>
    <x v="0"/>
    <n v="0.86"/>
    <x v="0"/>
    <n v="8.9599999999999999E-2"/>
    <x v="0"/>
    <x v="3"/>
    <x v="7"/>
    <x v="85"/>
  </r>
  <r>
    <n v="257"/>
    <d v="2011-01-12T00:00:00"/>
    <x v="0"/>
    <x v="0"/>
    <x v="0"/>
    <x v="1"/>
    <x v="0"/>
    <n v="3"/>
    <x v="4"/>
    <n v="2"/>
    <x v="1"/>
    <n v="0.16"/>
    <n v="0.18179999999999999"/>
    <x v="0"/>
    <n v="0.86"/>
    <x v="0"/>
    <n v="0.1045"/>
    <x v="0"/>
    <x v="3"/>
    <x v="8"/>
    <x v="24"/>
  </r>
  <r>
    <n v="258"/>
    <d v="2011-01-12T00:00:00"/>
    <x v="0"/>
    <x v="0"/>
    <x v="0"/>
    <x v="2"/>
    <x v="0"/>
    <n v="3"/>
    <x v="4"/>
    <n v="1"/>
    <x v="0"/>
    <n v="0.14000000000000001"/>
    <n v="0.1515"/>
    <x v="0"/>
    <n v="0.86"/>
    <x v="0"/>
    <n v="0.1343"/>
    <x v="0"/>
    <x v="3"/>
    <x v="4"/>
    <x v="4"/>
  </r>
  <r>
    <n v="259"/>
    <d v="2011-01-12T00:00:00"/>
    <x v="0"/>
    <x v="0"/>
    <x v="0"/>
    <x v="5"/>
    <x v="0"/>
    <n v="3"/>
    <x v="4"/>
    <n v="1"/>
    <x v="0"/>
    <n v="0.14000000000000001"/>
    <n v="0.1515"/>
    <x v="0"/>
    <n v="0.86"/>
    <x v="0"/>
    <n v="0.16420000000000001"/>
    <x v="0"/>
    <x v="3"/>
    <x v="34"/>
    <x v="36"/>
  </r>
  <r>
    <n v="260"/>
    <d v="2011-01-12T00:00:00"/>
    <x v="0"/>
    <x v="0"/>
    <x v="0"/>
    <x v="6"/>
    <x v="0"/>
    <n v="3"/>
    <x v="4"/>
    <n v="1"/>
    <x v="0"/>
    <n v="0.12"/>
    <n v="0.1515"/>
    <x v="0"/>
    <n v="0.93"/>
    <x v="0"/>
    <n v="0.1343"/>
    <x v="0"/>
    <x v="3"/>
    <x v="20"/>
    <x v="0"/>
  </r>
  <r>
    <n v="261"/>
    <d v="2011-01-12T00:00:00"/>
    <x v="0"/>
    <x v="0"/>
    <x v="0"/>
    <x v="7"/>
    <x v="0"/>
    <n v="3"/>
    <x v="4"/>
    <n v="1"/>
    <x v="0"/>
    <n v="0.14000000000000001"/>
    <n v="0.1515"/>
    <x v="0"/>
    <n v="0.69"/>
    <x v="1"/>
    <n v="0.1343"/>
    <x v="0"/>
    <x v="3"/>
    <x v="25"/>
    <x v="60"/>
  </r>
  <r>
    <n v="262"/>
    <d v="2011-01-12T00:00:00"/>
    <x v="0"/>
    <x v="0"/>
    <x v="0"/>
    <x v="8"/>
    <x v="0"/>
    <n v="3"/>
    <x v="4"/>
    <n v="1"/>
    <x v="0"/>
    <n v="0.16"/>
    <n v="0.16669999999999999"/>
    <x v="0"/>
    <n v="0.59"/>
    <x v="1"/>
    <n v="0.16420000000000001"/>
    <x v="0"/>
    <x v="0"/>
    <x v="85"/>
    <x v="116"/>
  </r>
  <r>
    <n v="263"/>
    <d v="2011-01-12T00:00:00"/>
    <x v="0"/>
    <x v="0"/>
    <x v="0"/>
    <x v="9"/>
    <x v="0"/>
    <n v="3"/>
    <x v="4"/>
    <n v="1"/>
    <x v="0"/>
    <n v="0.16"/>
    <n v="0.13639999999999999"/>
    <x v="0"/>
    <n v="0.59"/>
    <x v="1"/>
    <n v="0.32840000000000003"/>
    <x v="1"/>
    <x v="0"/>
    <x v="78"/>
    <x v="117"/>
  </r>
  <r>
    <n v="264"/>
    <d v="2011-01-12T00:00:00"/>
    <x v="0"/>
    <x v="0"/>
    <x v="0"/>
    <x v="10"/>
    <x v="0"/>
    <n v="3"/>
    <x v="4"/>
    <n v="1"/>
    <x v="0"/>
    <n v="0.18"/>
    <n v="0.18179999999999999"/>
    <x v="0"/>
    <n v="0.55000000000000004"/>
    <x v="1"/>
    <n v="0.22389999999999999"/>
    <x v="1"/>
    <x v="3"/>
    <x v="87"/>
    <x v="21"/>
  </r>
  <r>
    <n v="265"/>
    <d v="2011-01-12T00:00:00"/>
    <x v="0"/>
    <x v="0"/>
    <x v="0"/>
    <x v="11"/>
    <x v="0"/>
    <n v="3"/>
    <x v="4"/>
    <n v="1"/>
    <x v="0"/>
    <n v="0.2"/>
    <n v="0.18179999999999999"/>
    <x v="0"/>
    <n v="0.51"/>
    <x v="1"/>
    <n v="0.3881"/>
    <x v="1"/>
    <x v="0"/>
    <x v="1"/>
    <x v="17"/>
  </r>
  <r>
    <n v="266"/>
    <d v="2011-01-12T00:00:00"/>
    <x v="0"/>
    <x v="0"/>
    <x v="0"/>
    <x v="12"/>
    <x v="0"/>
    <n v="3"/>
    <x v="4"/>
    <n v="1"/>
    <x v="0"/>
    <n v="0.2"/>
    <n v="0.1515"/>
    <x v="0"/>
    <n v="0.47"/>
    <x v="1"/>
    <n v="0.58209999999999995"/>
    <x v="2"/>
    <x v="0"/>
    <x v="15"/>
    <x v="97"/>
  </r>
  <r>
    <n v="267"/>
    <d v="2011-01-12T00:00:00"/>
    <x v="0"/>
    <x v="0"/>
    <x v="0"/>
    <x v="13"/>
    <x v="0"/>
    <n v="3"/>
    <x v="4"/>
    <n v="1"/>
    <x v="0"/>
    <n v="0.22"/>
    <n v="0.19700000000000001"/>
    <x v="0"/>
    <n v="0.44"/>
    <x v="1"/>
    <n v="0.35820000000000002"/>
    <x v="1"/>
    <x v="3"/>
    <x v="47"/>
    <x v="99"/>
  </r>
  <r>
    <n v="268"/>
    <d v="2011-01-12T00:00:00"/>
    <x v="0"/>
    <x v="0"/>
    <x v="0"/>
    <x v="14"/>
    <x v="0"/>
    <n v="3"/>
    <x v="4"/>
    <n v="1"/>
    <x v="0"/>
    <n v="0.2"/>
    <n v="0.18179999999999999"/>
    <x v="0"/>
    <n v="0.47"/>
    <x v="1"/>
    <n v="0.32840000000000003"/>
    <x v="1"/>
    <x v="3"/>
    <x v="100"/>
    <x v="40"/>
  </r>
  <r>
    <n v="269"/>
    <d v="2011-01-12T00:00:00"/>
    <x v="0"/>
    <x v="0"/>
    <x v="0"/>
    <x v="15"/>
    <x v="0"/>
    <n v="3"/>
    <x v="4"/>
    <n v="1"/>
    <x v="0"/>
    <n v="0.2"/>
    <n v="0.16669999999999999"/>
    <x v="0"/>
    <n v="0.47"/>
    <x v="1"/>
    <n v="0.41789999999999999"/>
    <x v="1"/>
    <x v="5"/>
    <x v="41"/>
    <x v="99"/>
  </r>
  <r>
    <n v="270"/>
    <d v="2011-01-12T00:00:00"/>
    <x v="0"/>
    <x v="0"/>
    <x v="0"/>
    <x v="16"/>
    <x v="0"/>
    <n v="3"/>
    <x v="4"/>
    <n v="1"/>
    <x v="0"/>
    <n v="0.22"/>
    <n v="0.19700000000000001"/>
    <x v="0"/>
    <n v="0.44"/>
    <x v="1"/>
    <n v="0.32840000000000003"/>
    <x v="1"/>
    <x v="2"/>
    <x v="36"/>
    <x v="118"/>
  </r>
  <r>
    <n v="271"/>
    <d v="2011-01-12T00:00:00"/>
    <x v="0"/>
    <x v="0"/>
    <x v="0"/>
    <x v="17"/>
    <x v="0"/>
    <n v="3"/>
    <x v="4"/>
    <n v="1"/>
    <x v="0"/>
    <n v="0.2"/>
    <n v="0.18179999999999999"/>
    <x v="0"/>
    <n v="0.47"/>
    <x v="1"/>
    <n v="0.35820000000000002"/>
    <x v="1"/>
    <x v="3"/>
    <x v="112"/>
    <x v="119"/>
  </r>
  <r>
    <n v="272"/>
    <d v="2011-01-12T00:00:00"/>
    <x v="0"/>
    <x v="0"/>
    <x v="0"/>
    <x v="18"/>
    <x v="0"/>
    <n v="3"/>
    <x v="4"/>
    <n v="1"/>
    <x v="0"/>
    <n v="0.2"/>
    <n v="0.1515"/>
    <x v="0"/>
    <n v="0.47"/>
    <x v="1"/>
    <n v="0.52239999999999998"/>
    <x v="2"/>
    <x v="4"/>
    <x v="113"/>
    <x v="120"/>
  </r>
  <r>
    <n v="273"/>
    <d v="2011-01-12T00:00:00"/>
    <x v="0"/>
    <x v="0"/>
    <x v="0"/>
    <x v="19"/>
    <x v="0"/>
    <n v="3"/>
    <x v="4"/>
    <n v="1"/>
    <x v="0"/>
    <n v="0.18"/>
    <n v="0.1515"/>
    <x v="0"/>
    <n v="0.47"/>
    <x v="1"/>
    <n v="0.41789999999999999"/>
    <x v="1"/>
    <x v="5"/>
    <x v="70"/>
    <x v="56"/>
  </r>
  <r>
    <n v="274"/>
    <d v="2011-01-12T00:00:00"/>
    <x v="0"/>
    <x v="0"/>
    <x v="0"/>
    <x v="20"/>
    <x v="0"/>
    <n v="3"/>
    <x v="4"/>
    <n v="1"/>
    <x v="0"/>
    <n v="0.16"/>
    <n v="0.13639999999999999"/>
    <x v="0"/>
    <n v="0.5"/>
    <x v="1"/>
    <n v="0.32840000000000003"/>
    <x v="1"/>
    <x v="4"/>
    <x v="25"/>
    <x v="10"/>
  </r>
  <r>
    <n v="275"/>
    <d v="2011-01-12T00:00:00"/>
    <x v="0"/>
    <x v="0"/>
    <x v="0"/>
    <x v="21"/>
    <x v="0"/>
    <n v="3"/>
    <x v="4"/>
    <n v="1"/>
    <x v="0"/>
    <n v="0.16"/>
    <n v="0.13639999999999999"/>
    <x v="0"/>
    <n v="0.55000000000000004"/>
    <x v="1"/>
    <n v="0.32840000000000003"/>
    <x v="1"/>
    <x v="3"/>
    <x v="77"/>
    <x v="52"/>
  </r>
  <r>
    <n v="276"/>
    <d v="2011-01-12T00:00:00"/>
    <x v="0"/>
    <x v="0"/>
    <x v="0"/>
    <x v="22"/>
    <x v="0"/>
    <n v="3"/>
    <x v="4"/>
    <n v="1"/>
    <x v="0"/>
    <n v="0.16"/>
    <n v="0.1212"/>
    <x v="0"/>
    <n v="0.55000000000000004"/>
    <x v="1"/>
    <n v="0.44779999999999998"/>
    <x v="1"/>
    <x v="5"/>
    <x v="1"/>
    <x v="63"/>
  </r>
  <r>
    <n v="277"/>
    <d v="2011-01-12T00:00:00"/>
    <x v="0"/>
    <x v="0"/>
    <x v="0"/>
    <x v="23"/>
    <x v="0"/>
    <n v="3"/>
    <x v="4"/>
    <n v="1"/>
    <x v="0"/>
    <n v="0.14000000000000001"/>
    <n v="0.1061"/>
    <x v="0"/>
    <n v="0.59"/>
    <x v="1"/>
    <n v="0.41789999999999999"/>
    <x v="1"/>
    <x v="5"/>
    <x v="23"/>
    <x v="25"/>
  </r>
  <r>
    <n v="278"/>
    <d v="2011-01-13T00:00:00"/>
    <x v="0"/>
    <x v="0"/>
    <x v="0"/>
    <x v="0"/>
    <x v="0"/>
    <n v="4"/>
    <x v="5"/>
    <n v="1"/>
    <x v="0"/>
    <n v="0.14000000000000001"/>
    <n v="0.1212"/>
    <x v="0"/>
    <n v="0.59"/>
    <x v="1"/>
    <n v="0.28360000000000002"/>
    <x v="1"/>
    <x v="5"/>
    <x v="8"/>
    <x v="85"/>
  </r>
  <r>
    <n v="279"/>
    <d v="2011-01-13T00:00:00"/>
    <x v="0"/>
    <x v="0"/>
    <x v="0"/>
    <x v="1"/>
    <x v="0"/>
    <n v="4"/>
    <x v="5"/>
    <n v="1"/>
    <x v="0"/>
    <n v="0.14000000000000001"/>
    <n v="0.1212"/>
    <x v="0"/>
    <n v="0.5"/>
    <x v="1"/>
    <n v="0.28360000000000002"/>
    <x v="1"/>
    <x v="3"/>
    <x v="6"/>
    <x v="5"/>
  </r>
  <r>
    <n v="280"/>
    <d v="2011-01-13T00:00:00"/>
    <x v="0"/>
    <x v="0"/>
    <x v="0"/>
    <x v="2"/>
    <x v="0"/>
    <n v="4"/>
    <x v="5"/>
    <n v="1"/>
    <x v="0"/>
    <n v="0.14000000000000001"/>
    <n v="0.1212"/>
    <x v="0"/>
    <n v="0.5"/>
    <x v="1"/>
    <n v="0.35820000000000002"/>
    <x v="1"/>
    <x v="3"/>
    <x v="6"/>
    <x v="5"/>
  </r>
  <r>
    <n v="281"/>
    <d v="2011-01-13T00:00:00"/>
    <x v="0"/>
    <x v="0"/>
    <x v="0"/>
    <x v="3"/>
    <x v="0"/>
    <n v="4"/>
    <x v="5"/>
    <n v="1"/>
    <x v="0"/>
    <n v="0.14000000000000001"/>
    <n v="0.1212"/>
    <x v="0"/>
    <n v="0.5"/>
    <x v="1"/>
    <n v="0.32840000000000003"/>
    <x v="1"/>
    <x v="3"/>
    <x v="35"/>
    <x v="6"/>
  </r>
  <r>
    <n v="282"/>
    <d v="2011-01-13T00:00:00"/>
    <x v="0"/>
    <x v="0"/>
    <x v="0"/>
    <x v="4"/>
    <x v="0"/>
    <n v="4"/>
    <x v="5"/>
    <n v="1"/>
    <x v="0"/>
    <n v="0.14000000000000001"/>
    <n v="0.1212"/>
    <x v="0"/>
    <n v="0.5"/>
    <x v="1"/>
    <n v="0.25369999999999998"/>
    <x v="1"/>
    <x v="3"/>
    <x v="22"/>
    <x v="48"/>
  </r>
  <r>
    <n v="283"/>
    <d v="2011-01-13T00:00:00"/>
    <x v="0"/>
    <x v="0"/>
    <x v="0"/>
    <x v="5"/>
    <x v="0"/>
    <n v="4"/>
    <x v="5"/>
    <n v="1"/>
    <x v="0"/>
    <n v="0.14000000000000001"/>
    <n v="0.1212"/>
    <x v="0"/>
    <n v="0.5"/>
    <x v="1"/>
    <n v="0.29849999999999999"/>
    <x v="1"/>
    <x v="3"/>
    <x v="35"/>
    <x v="6"/>
  </r>
  <r>
    <n v="284"/>
    <d v="2011-01-13T00:00:00"/>
    <x v="0"/>
    <x v="0"/>
    <x v="0"/>
    <x v="6"/>
    <x v="0"/>
    <n v="4"/>
    <x v="5"/>
    <n v="1"/>
    <x v="0"/>
    <n v="0.12"/>
    <n v="0.1515"/>
    <x v="0"/>
    <n v="0.54"/>
    <x v="1"/>
    <n v="0.1343"/>
    <x v="0"/>
    <x v="3"/>
    <x v="95"/>
    <x v="20"/>
  </r>
  <r>
    <n v="285"/>
    <d v="2011-01-13T00:00:00"/>
    <x v="0"/>
    <x v="0"/>
    <x v="0"/>
    <x v="7"/>
    <x v="0"/>
    <n v="4"/>
    <x v="5"/>
    <n v="1"/>
    <x v="0"/>
    <n v="0.12"/>
    <n v="0.1515"/>
    <x v="0"/>
    <n v="0.54"/>
    <x v="1"/>
    <n v="0.1343"/>
    <x v="0"/>
    <x v="3"/>
    <x v="109"/>
    <x v="44"/>
  </r>
  <r>
    <n v="286"/>
    <d v="2011-01-13T00:00:00"/>
    <x v="0"/>
    <x v="0"/>
    <x v="0"/>
    <x v="8"/>
    <x v="0"/>
    <n v="4"/>
    <x v="5"/>
    <n v="1"/>
    <x v="0"/>
    <n v="0.14000000000000001"/>
    <n v="0.13639999999999999"/>
    <x v="0"/>
    <n v="0.5"/>
    <x v="1"/>
    <n v="0.19400000000000001"/>
    <x v="0"/>
    <x v="2"/>
    <x v="114"/>
    <x v="121"/>
  </r>
  <r>
    <n v="287"/>
    <d v="2011-01-13T00:00:00"/>
    <x v="0"/>
    <x v="0"/>
    <x v="0"/>
    <x v="9"/>
    <x v="0"/>
    <n v="4"/>
    <x v="5"/>
    <n v="1"/>
    <x v="0"/>
    <n v="0.14000000000000001"/>
    <n v="0.1212"/>
    <x v="0"/>
    <n v="0.5"/>
    <x v="1"/>
    <n v="0.32840000000000003"/>
    <x v="1"/>
    <x v="4"/>
    <x v="115"/>
    <x v="119"/>
  </r>
  <r>
    <n v="288"/>
    <d v="2011-01-13T00:00:00"/>
    <x v="0"/>
    <x v="0"/>
    <x v="0"/>
    <x v="10"/>
    <x v="0"/>
    <n v="4"/>
    <x v="5"/>
    <n v="2"/>
    <x v="1"/>
    <n v="0.16"/>
    <n v="0.13639999999999999"/>
    <x v="0"/>
    <n v="0.5"/>
    <x v="1"/>
    <n v="0.35820000000000002"/>
    <x v="1"/>
    <x v="4"/>
    <x v="49"/>
    <x v="103"/>
  </r>
  <r>
    <n v="289"/>
    <d v="2011-01-13T00:00:00"/>
    <x v="0"/>
    <x v="0"/>
    <x v="0"/>
    <x v="11"/>
    <x v="0"/>
    <n v="4"/>
    <x v="5"/>
    <n v="2"/>
    <x v="1"/>
    <n v="0.2"/>
    <n v="0.16669999999999999"/>
    <x v="0"/>
    <n v="0.44"/>
    <x v="1"/>
    <n v="0.44779999999999998"/>
    <x v="1"/>
    <x v="17"/>
    <x v="39"/>
    <x v="18"/>
  </r>
  <r>
    <n v="290"/>
    <d v="2011-01-13T00:00:00"/>
    <x v="0"/>
    <x v="0"/>
    <x v="0"/>
    <x v="12"/>
    <x v="0"/>
    <n v="4"/>
    <x v="5"/>
    <n v="1"/>
    <x v="0"/>
    <n v="0.2"/>
    <n v="0.16669999999999999"/>
    <x v="0"/>
    <n v="0.44"/>
    <x v="1"/>
    <n v="0.41789999999999999"/>
    <x v="1"/>
    <x v="0"/>
    <x v="47"/>
    <x v="46"/>
  </r>
  <r>
    <n v="291"/>
    <d v="2011-01-13T00:00:00"/>
    <x v="0"/>
    <x v="0"/>
    <x v="0"/>
    <x v="13"/>
    <x v="0"/>
    <n v="4"/>
    <x v="5"/>
    <n v="1"/>
    <x v="0"/>
    <n v="0.22"/>
    <n v="0.19700000000000001"/>
    <x v="0"/>
    <n v="0.41"/>
    <x v="1"/>
    <n v="0.44779999999999998"/>
    <x v="1"/>
    <x v="4"/>
    <x v="38"/>
    <x v="56"/>
  </r>
  <r>
    <n v="292"/>
    <d v="2011-01-13T00:00:00"/>
    <x v="0"/>
    <x v="0"/>
    <x v="0"/>
    <x v="14"/>
    <x v="0"/>
    <n v="4"/>
    <x v="5"/>
    <n v="1"/>
    <x v="0"/>
    <n v="0.22"/>
    <n v="0.19700000000000001"/>
    <x v="0"/>
    <n v="0.41"/>
    <x v="1"/>
    <n v="0.3881"/>
    <x v="1"/>
    <x v="0"/>
    <x v="87"/>
    <x v="51"/>
  </r>
  <r>
    <n v="293"/>
    <d v="2011-01-13T00:00:00"/>
    <x v="0"/>
    <x v="0"/>
    <x v="0"/>
    <x v="15"/>
    <x v="0"/>
    <n v="4"/>
    <x v="5"/>
    <n v="1"/>
    <x v="0"/>
    <n v="0.24"/>
    <n v="0.21210000000000001"/>
    <x v="0"/>
    <n v="0.38"/>
    <x v="2"/>
    <n v="0.29849999999999999"/>
    <x v="1"/>
    <x v="2"/>
    <x v="11"/>
    <x v="122"/>
  </r>
  <r>
    <n v="294"/>
    <d v="2011-01-13T00:00:00"/>
    <x v="0"/>
    <x v="0"/>
    <x v="0"/>
    <x v="16"/>
    <x v="0"/>
    <n v="4"/>
    <x v="5"/>
    <n v="1"/>
    <x v="0"/>
    <n v="0.24"/>
    <n v="0.21210000000000001"/>
    <x v="0"/>
    <n v="0.38"/>
    <x v="2"/>
    <n v="0.35820000000000002"/>
    <x v="1"/>
    <x v="4"/>
    <x v="83"/>
    <x v="53"/>
  </r>
  <r>
    <n v="295"/>
    <d v="2011-01-13T00:00:00"/>
    <x v="0"/>
    <x v="0"/>
    <x v="0"/>
    <x v="17"/>
    <x v="0"/>
    <n v="4"/>
    <x v="5"/>
    <n v="1"/>
    <x v="0"/>
    <n v="0.2"/>
    <n v="0.18179999999999999"/>
    <x v="0"/>
    <n v="0.4"/>
    <x v="1"/>
    <n v="0.28360000000000002"/>
    <x v="1"/>
    <x v="17"/>
    <x v="81"/>
    <x v="123"/>
  </r>
  <r>
    <n v="296"/>
    <d v="2011-01-13T00:00:00"/>
    <x v="0"/>
    <x v="0"/>
    <x v="0"/>
    <x v="18"/>
    <x v="0"/>
    <n v="4"/>
    <x v="5"/>
    <n v="1"/>
    <x v="0"/>
    <n v="0.2"/>
    <n v="0.18179999999999999"/>
    <x v="0"/>
    <n v="0.4"/>
    <x v="1"/>
    <n v="0.32840000000000003"/>
    <x v="1"/>
    <x v="0"/>
    <x v="116"/>
    <x v="124"/>
  </r>
  <r>
    <n v="297"/>
    <d v="2011-01-13T00:00:00"/>
    <x v="0"/>
    <x v="0"/>
    <x v="0"/>
    <x v="19"/>
    <x v="0"/>
    <n v="4"/>
    <x v="5"/>
    <n v="1"/>
    <x v="0"/>
    <n v="0.16"/>
    <n v="0.1515"/>
    <x v="0"/>
    <n v="0.47"/>
    <x v="1"/>
    <n v="0.25369999999999998"/>
    <x v="1"/>
    <x v="5"/>
    <x v="52"/>
    <x v="111"/>
  </r>
  <r>
    <n v="298"/>
    <d v="2011-01-13T00:00:00"/>
    <x v="0"/>
    <x v="0"/>
    <x v="0"/>
    <x v="20"/>
    <x v="0"/>
    <n v="4"/>
    <x v="5"/>
    <n v="1"/>
    <x v="0"/>
    <n v="0.16"/>
    <n v="0.1515"/>
    <x v="0"/>
    <n v="0.47"/>
    <x v="1"/>
    <n v="0.22389999999999999"/>
    <x v="1"/>
    <x v="3"/>
    <x v="27"/>
    <x v="37"/>
  </r>
  <r>
    <n v="299"/>
    <d v="2011-01-13T00:00:00"/>
    <x v="0"/>
    <x v="0"/>
    <x v="0"/>
    <x v="21"/>
    <x v="0"/>
    <n v="4"/>
    <x v="5"/>
    <n v="1"/>
    <x v="0"/>
    <n v="0.14000000000000001"/>
    <n v="0.1212"/>
    <x v="0"/>
    <n v="0.46"/>
    <x v="1"/>
    <n v="0.29849999999999999"/>
    <x v="1"/>
    <x v="3"/>
    <x v="71"/>
    <x v="1"/>
  </r>
  <r>
    <n v="300"/>
    <d v="2011-01-13T00:00:00"/>
    <x v="0"/>
    <x v="0"/>
    <x v="0"/>
    <x v="22"/>
    <x v="0"/>
    <n v="4"/>
    <x v="5"/>
    <n v="1"/>
    <x v="0"/>
    <n v="0.14000000000000001"/>
    <n v="0.1212"/>
    <x v="0"/>
    <n v="0.46"/>
    <x v="1"/>
    <n v="0.32840000000000003"/>
    <x v="1"/>
    <x v="3"/>
    <x v="10"/>
    <x v="33"/>
  </r>
  <r>
    <n v="301"/>
    <d v="2011-01-13T00:00:00"/>
    <x v="0"/>
    <x v="0"/>
    <x v="0"/>
    <x v="23"/>
    <x v="0"/>
    <n v="4"/>
    <x v="5"/>
    <n v="1"/>
    <x v="0"/>
    <n v="0.12"/>
    <n v="0.13639999999999999"/>
    <x v="0"/>
    <n v="0.5"/>
    <x v="1"/>
    <n v="0.19400000000000001"/>
    <x v="0"/>
    <x v="5"/>
    <x v="88"/>
    <x v="93"/>
  </r>
  <r>
    <n v="302"/>
    <d v="2011-01-14T00:00:00"/>
    <x v="0"/>
    <x v="0"/>
    <x v="0"/>
    <x v="0"/>
    <x v="0"/>
    <n v="5"/>
    <x v="6"/>
    <n v="1"/>
    <x v="0"/>
    <n v="0.12"/>
    <n v="0.13639999999999999"/>
    <x v="0"/>
    <n v="0.5"/>
    <x v="1"/>
    <n v="0.19400000000000001"/>
    <x v="0"/>
    <x v="3"/>
    <x v="88"/>
    <x v="8"/>
  </r>
  <r>
    <n v="303"/>
    <d v="2011-01-14T00:00:00"/>
    <x v="0"/>
    <x v="0"/>
    <x v="0"/>
    <x v="1"/>
    <x v="0"/>
    <n v="5"/>
    <x v="6"/>
    <n v="1"/>
    <x v="0"/>
    <n v="0.1"/>
    <n v="0.1212"/>
    <x v="0"/>
    <n v="0.54"/>
    <x v="1"/>
    <n v="0.16420000000000001"/>
    <x v="0"/>
    <x v="3"/>
    <x v="34"/>
    <x v="36"/>
  </r>
  <r>
    <n v="304"/>
    <d v="2011-01-14T00:00:00"/>
    <x v="0"/>
    <x v="0"/>
    <x v="0"/>
    <x v="2"/>
    <x v="0"/>
    <n v="5"/>
    <x v="6"/>
    <n v="1"/>
    <x v="0"/>
    <n v="0.1"/>
    <n v="0.1212"/>
    <x v="0"/>
    <n v="0.54"/>
    <x v="1"/>
    <n v="0.1343"/>
    <x v="0"/>
    <x v="3"/>
    <x v="4"/>
    <x v="4"/>
  </r>
  <r>
    <n v="305"/>
    <d v="2011-01-14T00:00:00"/>
    <x v="0"/>
    <x v="0"/>
    <x v="0"/>
    <x v="3"/>
    <x v="0"/>
    <n v="5"/>
    <x v="6"/>
    <n v="1"/>
    <x v="0"/>
    <n v="0.1"/>
    <n v="0.13639999999999999"/>
    <x v="0"/>
    <n v="0.54"/>
    <x v="1"/>
    <n v="0.1045"/>
    <x v="0"/>
    <x v="3"/>
    <x v="4"/>
    <x v="4"/>
  </r>
  <r>
    <n v="306"/>
    <d v="2011-01-14T00:00:00"/>
    <x v="0"/>
    <x v="0"/>
    <x v="0"/>
    <x v="5"/>
    <x v="0"/>
    <n v="5"/>
    <x v="6"/>
    <n v="1"/>
    <x v="0"/>
    <n v="0.1"/>
    <n v="0.13639999999999999"/>
    <x v="0"/>
    <n v="0.54"/>
    <x v="1"/>
    <n v="8.9599999999999999E-2"/>
    <x v="0"/>
    <x v="3"/>
    <x v="21"/>
    <x v="7"/>
  </r>
  <r>
    <n v="307"/>
    <d v="2011-01-14T00:00:00"/>
    <x v="0"/>
    <x v="0"/>
    <x v="0"/>
    <x v="6"/>
    <x v="0"/>
    <n v="5"/>
    <x v="6"/>
    <n v="1"/>
    <x v="0"/>
    <n v="0.1"/>
    <n v="0.18179999999999999"/>
    <x v="0"/>
    <n v="0.54"/>
    <x v="1"/>
    <n v="0"/>
    <x v="0"/>
    <x v="3"/>
    <x v="19"/>
    <x v="22"/>
  </r>
  <r>
    <n v="308"/>
    <d v="2011-01-14T00:00:00"/>
    <x v="0"/>
    <x v="0"/>
    <x v="0"/>
    <x v="7"/>
    <x v="0"/>
    <n v="5"/>
    <x v="6"/>
    <n v="1"/>
    <x v="0"/>
    <n v="0.1"/>
    <n v="0.1212"/>
    <x v="0"/>
    <n v="0.74"/>
    <x v="0"/>
    <n v="0.16420000000000001"/>
    <x v="0"/>
    <x v="3"/>
    <x v="14"/>
    <x v="27"/>
  </r>
  <r>
    <n v="309"/>
    <d v="2011-01-14T00:00:00"/>
    <x v="0"/>
    <x v="0"/>
    <x v="0"/>
    <x v="8"/>
    <x v="0"/>
    <n v="5"/>
    <x v="6"/>
    <n v="1"/>
    <x v="0"/>
    <n v="0.12"/>
    <n v="0.16669999999999999"/>
    <x v="0"/>
    <n v="0.68"/>
    <x v="1"/>
    <n v="0"/>
    <x v="0"/>
    <x v="4"/>
    <x v="117"/>
    <x v="125"/>
  </r>
  <r>
    <n v="310"/>
    <d v="2011-01-14T00:00:00"/>
    <x v="0"/>
    <x v="0"/>
    <x v="0"/>
    <x v="9"/>
    <x v="0"/>
    <n v="5"/>
    <x v="6"/>
    <n v="1"/>
    <x v="0"/>
    <n v="0.14000000000000001"/>
    <n v="0.1515"/>
    <x v="0"/>
    <n v="0.69"/>
    <x v="1"/>
    <n v="0.1343"/>
    <x v="0"/>
    <x v="3"/>
    <x v="118"/>
    <x v="126"/>
  </r>
  <r>
    <n v="311"/>
    <d v="2011-01-14T00:00:00"/>
    <x v="0"/>
    <x v="0"/>
    <x v="0"/>
    <x v="10"/>
    <x v="0"/>
    <n v="5"/>
    <x v="6"/>
    <n v="1"/>
    <x v="0"/>
    <n v="0.18"/>
    <n v="0.18179999999999999"/>
    <x v="0"/>
    <n v="0.55000000000000004"/>
    <x v="1"/>
    <n v="0.19400000000000001"/>
    <x v="0"/>
    <x v="17"/>
    <x v="71"/>
    <x v="40"/>
  </r>
  <r>
    <n v="312"/>
    <d v="2011-01-14T00:00:00"/>
    <x v="0"/>
    <x v="0"/>
    <x v="0"/>
    <x v="11"/>
    <x v="0"/>
    <n v="5"/>
    <x v="6"/>
    <n v="1"/>
    <x v="0"/>
    <n v="0.18"/>
    <n v="0.16669999999999999"/>
    <x v="0"/>
    <n v="0.51"/>
    <x v="1"/>
    <n v="0.28360000000000002"/>
    <x v="1"/>
    <x v="15"/>
    <x v="12"/>
    <x v="26"/>
  </r>
  <r>
    <n v="313"/>
    <d v="2011-01-14T00:00:00"/>
    <x v="0"/>
    <x v="0"/>
    <x v="0"/>
    <x v="12"/>
    <x v="0"/>
    <n v="5"/>
    <x v="6"/>
    <n v="1"/>
    <x v="0"/>
    <n v="0.2"/>
    <n v="0.19700000000000001"/>
    <x v="0"/>
    <n v="0.44"/>
    <x v="1"/>
    <n v="0.25369999999999998"/>
    <x v="1"/>
    <x v="4"/>
    <x v="79"/>
    <x v="42"/>
  </r>
  <r>
    <n v="314"/>
    <d v="2011-01-14T00:00:00"/>
    <x v="0"/>
    <x v="0"/>
    <x v="0"/>
    <x v="13"/>
    <x v="0"/>
    <n v="5"/>
    <x v="6"/>
    <n v="1"/>
    <x v="0"/>
    <n v="0.22"/>
    <n v="0.19700000000000001"/>
    <x v="0"/>
    <n v="0.37"/>
    <x v="2"/>
    <n v="0.3881"/>
    <x v="1"/>
    <x v="17"/>
    <x v="26"/>
    <x v="43"/>
  </r>
  <r>
    <n v="315"/>
    <d v="2011-01-14T00:00:00"/>
    <x v="0"/>
    <x v="0"/>
    <x v="0"/>
    <x v="14"/>
    <x v="0"/>
    <n v="5"/>
    <x v="6"/>
    <n v="1"/>
    <x v="0"/>
    <n v="0.22"/>
    <n v="0.21210000000000001"/>
    <x v="0"/>
    <n v="0.41"/>
    <x v="1"/>
    <n v="0.28360000000000002"/>
    <x v="1"/>
    <x v="2"/>
    <x v="79"/>
    <x v="37"/>
  </r>
  <r>
    <n v="316"/>
    <d v="2011-01-14T00:00:00"/>
    <x v="0"/>
    <x v="0"/>
    <x v="0"/>
    <x v="15"/>
    <x v="0"/>
    <n v="5"/>
    <x v="6"/>
    <n v="1"/>
    <x v="0"/>
    <n v="0.24"/>
    <n v="0.2424"/>
    <x v="0"/>
    <n v="0.38"/>
    <x v="2"/>
    <n v="0.16420000000000001"/>
    <x v="0"/>
    <x v="14"/>
    <x v="79"/>
    <x v="118"/>
  </r>
  <r>
    <n v="317"/>
    <d v="2011-01-14T00:00:00"/>
    <x v="0"/>
    <x v="0"/>
    <x v="0"/>
    <x v="16"/>
    <x v="0"/>
    <n v="5"/>
    <x v="6"/>
    <n v="1"/>
    <x v="0"/>
    <n v="0.22"/>
    <n v="0.2424"/>
    <x v="0"/>
    <n v="0.41"/>
    <x v="1"/>
    <n v="0.1045"/>
    <x v="0"/>
    <x v="0"/>
    <x v="61"/>
    <x v="127"/>
  </r>
  <r>
    <n v="318"/>
    <d v="2011-01-14T00:00:00"/>
    <x v="0"/>
    <x v="0"/>
    <x v="0"/>
    <x v="17"/>
    <x v="0"/>
    <n v="5"/>
    <x v="6"/>
    <n v="1"/>
    <x v="0"/>
    <n v="0.22"/>
    <n v="0.2273"/>
    <x v="0"/>
    <n v="0.41"/>
    <x v="1"/>
    <n v="0.16420000000000001"/>
    <x v="0"/>
    <x v="17"/>
    <x v="119"/>
    <x v="128"/>
  </r>
  <r>
    <n v="319"/>
    <d v="2011-01-14T00:00:00"/>
    <x v="0"/>
    <x v="0"/>
    <x v="0"/>
    <x v="18"/>
    <x v="0"/>
    <n v="5"/>
    <x v="6"/>
    <n v="1"/>
    <x v="0"/>
    <n v="0.2"/>
    <n v="0.2576"/>
    <x v="0"/>
    <n v="0.47"/>
    <x v="1"/>
    <n v="0"/>
    <x v="0"/>
    <x v="2"/>
    <x v="120"/>
    <x v="119"/>
  </r>
  <r>
    <n v="320"/>
    <d v="2011-01-14T00:00:00"/>
    <x v="0"/>
    <x v="0"/>
    <x v="0"/>
    <x v="19"/>
    <x v="0"/>
    <n v="5"/>
    <x v="6"/>
    <n v="1"/>
    <x v="0"/>
    <n v="0.16"/>
    <n v="0.19700000000000001"/>
    <x v="0"/>
    <n v="0.59"/>
    <x v="1"/>
    <n v="8.9599999999999999E-2"/>
    <x v="0"/>
    <x v="0"/>
    <x v="121"/>
    <x v="101"/>
  </r>
  <r>
    <n v="321"/>
    <d v="2011-01-14T00:00:00"/>
    <x v="0"/>
    <x v="0"/>
    <x v="0"/>
    <x v="20"/>
    <x v="0"/>
    <n v="5"/>
    <x v="6"/>
    <n v="1"/>
    <x v="0"/>
    <n v="0.18"/>
    <n v="0.2424"/>
    <x v="0"/>
    <n v="0.59"/>
    <x v="1"/>
    <n v="0"/>
    <x v="0"/>
    <x v="3"/>
    <x v="56"/>
    <x v="118"/>
  </r>
  <r>
    <n v="322"/>
    <d v="2011-01-14T00:00:00"/>
    <x v="0"/>
    <x v="0"/>
    <x v="0"/>
    <x v="21"/>
    <x v="0"/>
    <n v="5"/>
    <x v="6"/>
    <n v="1"/>
    <x v="0"/>
    <n v="0.16"/>
    <n v="0.2273"/>
    <x v="0"/>
    <n v="0.69"/>
    <x v="1"/>
    <n v="0"/>
    <x v="0"/>
    <x v="17"/>
    <x v="41"/>
    <x v="46"/>
  </r>
  <r>
    <n v="323"/>
    <d v="2011-01-14T00:00:00"/>
    <x v="0"/>
    <x v="0"/>
    <x v="0"/>
    <x v="22"/>
    <x v="0"/>
    <n v="5"/>
    <x v="6"/>
    <n v="2"/>
    <x v="1"/>
    <n v="0.16"/>
    <n v="0.2273"/>
    <x v="0"/>
    <n v="0.69"/>
    <x v="1"/>
    <n v="0"/>
    <x v="0"/>
    <x v="4"/>
    <x v="60"/>
    <x v="9"/>
  </r>
  <r>
    <n v="324"/>
    <d v="2011-01-14T00:00:00"/>
    <x v="0"/>
    <x v="0"/>
    <x v="0"/>
    <x v="23"/>
    <x v="0"/>
    <n v="5"/>
    <x v="6"/>
    <n v="2"/>
    <x v="1"/>
    <n v="0.18"/>
    <n v="0.2424"/>
    <x v="0"/>
    <n v="0.55000000000000004"/>
    <x v="1"/>
    <n v="0"/>
    <x v="0"/>
    <x v="5"/>
    <x v="16"/>
    <x v="110"/>
  </r>
  <r>
    <n v="325"/>
    <d v="2011-01-15T00:00:00"/>
    <x v="0"/>
    <x v="0"/>
    <x v="0"/>
    <x v="0"/>
    <x v="0"/>
    <n v="6"/>
    <x v="0"/>
    <n v="1"/>
    <x v="0"/>
    <n v="0.18"/>
    <n v="0.2424"/>
    <x v="0"/>
    <n v="0.55000000000000004"/>
    <x v="1"/>
    <n v="0"/>
    <x v="0"/>
    <x v="0"/>
    <x v="18"/>
    <x v="20"/>
  </r>
  <r>
    <n v="326"/>
    <d v="2011-01-15T00:00:00"/>
    <x v="0"/>
    <x v="0"/>
    <x v="0"/>
    <x v="1"/>
    <x v="0"/>
    <n v="6"/>
    <x v="0"/>
    <n v="2"/>
    <x v="1"/>
    <n v="0.16"/>
    <n v="0.19700000000000001"/>
    <x v="0"/>
    <n v="0.59"/>
    <x v="1"/>
    <n v="8.9599999999999999E-2"/>
    <x v="0"/>
    <x v="4"/>
    <x v="72"/>
    <x v="25"/>
  </r>
  <r>
    <n v="327"/>
    <d v="2011-01-15T00:00:00"/>
    <x v="0"/>
    <x v="0"/>
    <x v="0"/>
    <x v="2"/>
    <x v="0"/>
    <n v="6"/>
    <x v="0"/>
    <n v="2"/>
    <x v="1"/>
    <n v="0.16"/>
    <n v="0.19700000000000001"/>
    <x v="0"/>
    <n v="0.59"/>
    <x v="1"/>
    <n v="8.9599999999999999E-2"/>
    <x v="0"/>
    <x v="3"/>
    <x v="98"/>
    <x v="47"/>
  </r>
  <r>
    <n v="328"/>
    <d v="2011-01-15T00:00:00"/>
    <x v="0"/>
    <x v="0"/>
    <x v="0"/>
    <x v="3"/>
    <x v="0"/>
    <n v="6"/>
    <x v="0"/>
    <n v="2"/>
    <x v="1"/>
    <n v="0.16"/>
    <n v="0.2273"/>
    <x v="0"/>
    <n v="0.59"/>
    <x v="1"/>
    <n v="0"/>
    <x v="0"/>
    <x v="5"/>
    <x v="7"/>
    <x v="7"/>
  </r>
  <r>
    <n v="329"/>
    <d v="2011-01-15T00:00:00"/>
    <x v="0"/>
    <x v="0"/>
    <x v="0"/>
    <x v="4"/>
    <x v="0"/>
    <n v="6"/>
    <x v="0"/>
    <n v="2"/>
    <x v="1"/>
    <n v="0.16"/>
    <n v="0.2273"/>
    <x v="0"/>
    <n v="0.59"/>
    <x v="1"/>
    <n v="0"/>
    <x v="0"/>
    <x v="3"/>
    <x v="34"/>
    <x v="36"/>
  </r>
  <r>
    <n v="330"/>
    <d v="2011-01-15T00:00:00"/>
    <x v="0"/>
    <x v="0"/>
    <x v="0"/>
    <x v="5"/>
    <x v="0"/>
    <n v="6"/>
    <x v="0"/>
    <n v="1"/>
    <x v="0"/>
    <n v="0.16"/>
    <n v="0.2273"/>
    <x v="0"/>
    <n v="0.59"/>
    <x v="1"/>
    <n v="0"/>
    <x v="0"/>
    <x v="3"/>
    <x v="4"/>
    <x v="4"/>
  </r>
  <r>
    <n v="331"/>
    <d v="2011-01-15T00:00:00"/>
    <x v="0"/>
    <x v="0"/>
    <x v="0"/>
    <x v="6"/>
    <x v="0"/>
    <n v="6"/>
    <x v="0"/>
    <n v="1"/>
    <x v="0"/>
    <n v="0.14000000000000001"/>
    <n v="0.16669999999999999"/>
    <x v="0"/>
    <n v="0.63"/>
    <x v="1"/>
    <n v="0.1045"/>
    <x v="0"/>
    <x v="5"/>
    <x v="6"/>
    <x v="6"/>
  </r>
  <r>
    <n v="332"/>
    <d v="2011-01-15T00:00:00"/>
    <x v="0"/>
    <x v="0"/>
    <x v="0"/>
    <x v="7"/>
    <x v="0"/>
    <n v="6"/>
    <x v="0"/>
    <n v="1"/>
    <x v="0"/>
    <n v="0.14000000000000001"/>
    <n v="0.21210000000000001"/>
    <x v="0"/>
    <n v="0.63"/>
    <x v="1"/>
    <n v="0"/>
    <x v="0"/>
    <x v="5"/>
    <x v="33"/>
    <x v="98"/>
  </r>
  <r>
    <n v="333"/>
    <d v="2011-01-15T00:00:00"/>
    <x v="0"/>
    <x v="0"/>
    <x v="0"/>
    <x v="8"/>
    <x v="0"/>
    <n v="6"/>
    <x v="0"/>
    <n v="1"/>
    <x v="0"/>
    <n v="0.14000000000000001"/>
    <n v="0.1515"/>
    <x v="0"/>
    <n v="0.63"/>
    <x v="1"/>
    <n v="0.1343"/>
    <x v="0"/>
    <x v="5"/>
    <x v="97"/>
    <x v="84"/>
  </r>
  <r>
    <n v="334"/>
    <d v="2011-01-15T00:00:00"/>
    <x v="0"/>
    <x v="0"/>
    <x v="0"/>
    <x v="9"/>
    <x v="0"/>
    <n v="6"/>
    <x v="0"/>
    <n v="1"/>
    <x v="0"/>
    <n v="0.16"/>
    <n v="0.18179999999999999"/>
    <x v="0"/>
    <n v="0.64"/>
    <x v="1"/>
    <n v="0.1343"/>
    <x v="0"/>
    <x v="4"/>
    <x v="17"/>
    <x v="63"/>
  </r>
  <r>
    <n v="335"/>
    <d v="2011-01-15T00:00:00"/>
    <x v="0"/>
    <x v="0"/>
    <x v="0"/>
    <x v="10"/>
    <x v="0"/>
    <n v="6"/>
    <x v="0"/>
    <n v="1"/>
    <x v="0"/>
    <n v="0.18"/>
    <n v="0.19700000000000001"/>
    <x v="0"/>
    <n v="0.59"/>
    <x v="1"/>
    <n v="0.16420000000000001"/>
    <x v="0"/>
    <x v="4"/>
    <x v="77"/>
    <x v="29"/>
  </r>
  <r>
    <n v="336"/>
    <d v="2011-01-15T00:00:00"/>
    <x v="0"/>
    <x v="0"/>
    <x v="0"/>
    <x v="11"/>
    <x v="0"/>
    <n v="6"/>
    <x v="0"/>
    <n v="1"/>
    <x v="0"/>
    <n v="0.2"/>
    <n v="0.19700000000000001"/>
    <x v="0"/>
    <n v="0.55000000000000004"/>
    <x v="1"/>
    <n v="0.22389999999999999"/>
    <x v="1"/>
    <x v="25"/>
    <x v="25"/>
    <x v="44"/>
  </r>
  <r>
    <n v="337"/>
    <d v="2011-01-15T00:00:00"/>
    <x v="0"/>
    <x v="0"/>
    <x v="0"/>
    <x v="12"/>
    <x v="0"/>
    <n v="6"/>
    <x v="0"/>
    <n v="1"/>
    <x v="0"/>
    <n v="0.24"/>
    <n v="0.2273"/>
    <x v="0"/>
    <n v="0.48"/>
    <x v="1"/>
    <n v="0.22389999999999999"/>
    <x v="1"/>
    <x v="13"/>
    <x v="64"/>
    <x v="70"/>
  </r>
  <r>
    <n v="338"/>
    <d v="2011-01-15T00:00:00"/>
    <x v="0"/>
    <x v="0"/>
    <x v="0"/>
    <x v="13"/>
    <x v="0"/>
    <n v="6"/>
    <x v="0"/>
    <n v="1"/>
    <x v="0"/>
    <n v="0.28000000000000003"/>
    <n v="0.2576"/>
    <x v="0"/>
    <n v="0.38"/>
    <x v="2"/>
    <n v="0.29849999999999999"/>
    <x v="1"/>
    <x v="27"/>
    <x v="122"/>
    <x v="129"/>
  </r>
  <r>
    <n v="339"/>
    <d v="2011-01-15T00:00:00"/>
    <x v="0"/>
    <x v="0"/>
    <x v="0"/>
    <x v="14"/>
    <x v="0"/>
    <n v="6"/>
    <x v="0"/>
    <n v="1"/>
    <x v="0"/>
    <n v="0.3"/>
    <n v="0.28789999999999999"/>
    <x v="0"/>
    <n v="0.39"/>
    <x v="2"/>
    <n v="0.28360000000000002"/>
    <x v="1"/>
    <x v="7"/>
    <x v="50"/>
    <x v="130"/>
  </r>
  <r>
    <n v="340"/>
    <d v="2011-01-15T00:00:00"/>
    <x v="0"/>
    <x v="0"/>
    <x v="0"/>
    <x v="15"/>
    <x v="0"/>
    <n v="6"/>
    <x v="0"/>
    <n v="2"/>
    <x v="1"/>
    <n v="0.32"/>
    <n v="0.31819999999999998"/>
    <x v="1"/>
    <n v="0.36"/>
    <x v="2"/>
    <n v="0.19400000000000001"/>
    <x v="0"/>
    <x v="27"/>
    <x v="123"/>
    <x v="131"/>
  </r>
  <r>
    <n v="341"/>
    <d v="2011-01-15T00:00:00"/>
    <x v="0"/>
    <x v="0"/>
    <x v="0"/>
    <x v="16"/>
    <x v="0"/>
    <n v="6"/>
    <x v="0"/>
    <n v="2"/>
    <x v="1"/>
    <n v="0.34"/>
    <n v="0.33329999999999999"/>
    <x v="1"/>
    <n v="0.34"/>
    <x v="2"/>
    <n v="0.19400000000000001"/>
    <x v="0"/>
    <x v="28"/>
    <x v="73"/>
    <x v="116"/>
  </r>
  <r>
    <n v="342"/>
    <d v="2011-01-15T00:00:00"/>
    <x v="0"/>
    <x v="0"/>
    <x v="0"/>
    <x v="17"/>
    <x v="0"/>
    <n v="6"/>
    <x v="0"/>
    <n v="2"/>
    <x v="1"/>
    <n v="0.32"/>
    <n v="0.30299999999999999"/>
    <x v="1"/>
    <n v="0.36"/>
    <x v="2"/>
    <n v="0.28360000000000002"/>
    <x v="1"/>
    <x v="8"/>
    <x v="25"/>
    <x v="56"/>
  </r>
  <r>
    <n v="343"/>
    <d v="2011-01-15T00:00:00"/>
    <x v="0"/>
    <x v="0"/>
    <x v="0"/>
    <x v="18"/>
    <x v="0"/>
    <n v="6"/>
    <x v="0"/>
    <n v="2"/>
    <x v="1"/>
    <n v="0.3"/>
    <n v="0.28789999999999999"/>
    <x v="0"/>
    <n v="0.45"/>
    <x v="1"/>
    <n v="0.25369999999999998"/>
    <x v="1"/>
    <x v="13"/>
    <x v="94"/>
    <x v="11"/>
  </r>
  <r>
    <n v="344"/>
    <d v="2011-01-15T00:00:00"/>
    <x v="0"/>
    <x v="0"/>
    <x v="0"/>
    <x v="19"/>
    <x v="0"/>
    <n v="6"/>
    <x v="0"/>
    <n v="2"/>
    <x v="1"/>
    <n v="0.32"/>
    <n v="0.30299999999999999"/>
    <x v="1"/>
    <n v="0.39"/>
    <x v="2"/>
    <n v="0.25369999999999998"/>
    <x v="1"/>
    <x v="24"/>
    <x v="91"/>
    <x v="30"/>
  </r>
  <r>
    <n v="345"/>
    <d v="2011-01-15T00:00:00"/>
    <x v="0"/>
    <x v="0"/>
    <x v="0"/>
    <x v="20"/>
    <x v="0"/>
    <n v="6"/>
    <x v="0"/>
    <n v="2"/>
    <x v="1"/>
    <n v="0.32"/>
    <n v="0.30299999999999999"/>
    <x v="1"/>
    <n v="0.39"/>
    <x v="2"/>
    <n v="0.25369999999999998"/>
    <x v="1"/>
    <x v="15"/>
    <x v="96"/>
    <x v="102"/>
  </r>
  <r>
    <n v="346"/>
    <d v="2011-01-15T00:00:00"/>
    <x v="0"/>
    <x v="0"/>
    <x v="0"/>
    <x v="21"/>
    <x v="0"/>
    <n v="6"/>
    <x v="0"/>
    <n v="2"/>
    <x v="1"/>
    <n v="0.32"/>
    <n v="0.30299999999999999"/>
    <x v="1"/>
    <n v="0.39"/>
    <x v="2"/>
    <n v="0.22389999999999999"/>
    <x v="1"/>
    <x v="15"/>
    <x v="82"/>
    <x v="52"/>
  </r>
  <r>
    <n v="347"/>
    <d v="2011-01-15T00:00:00"/>
    <x v="0"/>
    <x v="0"/>
    <x v="0"/>
    <x v="22"/>
    <x v="0"/>
    <n v="6"/>
    <x v="0"/>
    <n v="2"/>
    <x v="1"/>
    <n v="0.3"/>
    <n v="0.31819999999999998"/>
    <x v="1"/>
    <n v="0.42"/>
    <x v="1"/>
    <n v="0.1045"/>
    <x v="0"/>
    <x v="3"/>
    <x v="16"/>
    <x v="132"/>
  </r>
  <r>
    <n v="348"/>
    <d v="2011-01-15T00:00:00"/>
    <x v="0"/>
    <x v="0"/>
    <x v="0"/>
    <x v="23"/>
    <x v="0"/>
    <n v="6"/>
    <x v="0"/>
    <n v="1"/>
    <x v="0"/>
    <n v="0.3"/>
    <n v="0.28789999999999999"/>
    <x v="0"/>
    <n v="0.45"/>
    <x v="1"/>
    <n v="0.28360000000000002"/>
    <x v="1"/>
    <x v="2"/>
    <x v="87"/>
    <x v="40"/>
  </r>
  <r>
    <n v="349"/>
    <d v="2011-01-16T00:00:00"/>
    <x v="0"/>
    <x v="0"/>
    <x v="0"/>
    <x v="0"/>
    <x v="0"/>
    <n v="0"/>
    <x v="1"/>
    <n v="1"/>
    <x v="0"/>
    <n v="0.26"/>
    <n v="0.30299999999999999"/>
    <x v="1"/>
    <n v="0.56000000000000005"/>
    <x v="1"/>
    <n v="0"/>
    <x v="0"/>
    <x v="15"/>
    <x v="39"/>
    <x v="21"/>
  </r>
  <r>
    <n v="350"/>
    <d v="2011-01-16T00:00:00"/>
    <x v="0"/>
    <x v="0"/>
    <x v="0"/>
    <x v="1"/>
    <x v="0"/>
    <n v="0"/>
    <x v="1"/>
    <n v="1"/>
    <x v="0"/>
    <n v="0.26"/>
    <n v="0.2727"/>
    <x v="0"/>
    <n v="0.56000000000000005"/>
    <x v="1"/>
    <n v="0.1343"/>
    <x v="0"/>
    <x v="17"/>
    <x v="23"/>
    <x v="84"/>
  </r>
  <r>
    <n v="351"/>
    <d v="2011-01-16T00:00:00"/>
    <x v="0"/>
    <x v="0"/>
    <x v="0"/>
    <x v="2"/>
    <x v="0"/>
    <n v="0"/>
    <x v="1"/>
    <n v="1"/>
    <x v="0"/>
    <n v="0.26"/>
    <n v="0.28789999999999999"/>
    <x v="0"/>
    <n v="0.56000000000000005"/>
    <x v="1"/>
    <n v="8.9599999999999999E-2"/>
    <x v="0"/>
    <x v="0"/>
    <x v="0"/>
    <x v="0"/>
  </r>
  <r>
    <n v="352"/>
    <d v="2011-01-16T00:00:00"/>
    <x v="0"/>
    <x v="0"/>
    <x v="0"/>
    <x v="3"/>
    <x v="0"/>
    <n v="0"/>
    <x v="1"/>
    <n v="1"/>
    <x v="0"/>
    <n v="0.22"/>
    <n v="0.2727"/>
    <x v="0"/>
    <n v="0.69"/>
    <x v="1"/>
    <n v="0"/>
    <x v="0"/>
    <x v="14"/>
    <x v="8"/>
    <x v="93"/>
  </r>
  <r>
    <n v="353"/>
    <d v="2011-01-16T00:00:00"/>
    <x v="0"/>
    <x v="0"/>
    <x v="0"/>
    <x v="4"/>
    <x v="0"/>
    <n v="0"/>
    <x v="1"/>
    <n v="1"/>
    <x v="0"/>
    <n v="0.26"/>
    <n v="0.2576"/>
    <x v="0"/>
    <n v="0.56000000000000005"/>
    <x v="1"/>
    <n v="0.16420000000000001"/>
    <x v="0"/>
    <x v="3"/>
    <x v="4"/>
    <x v="4"/>
  </r>
  <r>
    <n v="354"/>
    <d v="2011-01-16T00:00:00"/>
    <x v="0"/>
    <x v="0"/>
    <x v="0"/>
    <x v="5"/>
    <x v="0"/>
    <n v="0"/>
    <x v="1"/>
    <n v="2"/>
    <x v="1"/>
    <n v="0.26"/>
    <n v="0.2576"/>
    <x v="0"/>
    <n v="0.56000000000000005"/>
    <x v="1"/>
    <n v="0.16420000000000001"/>
    <x v="0"/>
    <x v="5"/>
    <x v="4"/>
    <x v="5"/>
  </r>
  <r>
    <n v="355"/>
    <d v="2011-01-16T00:00:00"/>
    <x v="0"/>
    <x v="0"/>
    <x v="0"/>
    <x v="6"/>
    <x v="0"/>
    <n v="0"/>
    <x v="1"/>
    <n v="2"/>
    <x v="1"/>
    <n v="0.26"/>
    <n v="0.2576"/>
    <x v="0"/>
    <n v="0.56000000000000005"/>
    <x v="1"/>
    <n v="0.16420000000000001"/>
    <x v="0"/>
    <x v="3"/>
    <x v="4"/>
    <x v="4"/>
  </r>
  <r>
    <n v="356"/>
    <d v="2011-01-16T00:00:00"/>
    <x v="0"/>
    <x v="0"/>
    <x v="0"/>
    <x v="7"/>
    <x v="0"/>
    <n v="0"/>
    <x v="1"/>
    <n v="2"/>
    <x v="1"/>
    <n v="0.24"/>
    <n v="0.21210000000000001"/>
    <x v="0"/>
    <n v="0.56000000000000005"/>
    <x v="1"/>
    <n v="0.29849999999999999"/>
    <x v="1"/>
    <x v="3"/>
    <x v="35"/>
    <x v="6"/>
  </r>
  <r>
    <n v="357"/>
    <d v="2011-01-16T00:00:00"/>
    <x v="0"/>
    <x v="0"/>
    <x v="0"/>
    <x v="8"/>
    <x v="0"/>
    <n v="0"/>
    <x v="1"/>
    <n v="1"/>
    <x v="0"/>
    <n v="0.22"/>
    <n v="0.21210000000000001"/>
    <x v="0"/>
    <n v="0.55000000000000004"/>
    <x v="1"/>
    <n v="0.28360000000000002"/>
    <x v="1"/>
    <x v="3"/>
    <x v="72"/>
    <x v="109"/>
  </r>
  <r>
    <n v="358"/>
    <d v="2011-01-16T00:00:00"/>
    <x v="0"/>
    <x v="0"/>
    <x v="0"/>
    <x v="9"/>
    <x v="0"/>
    <n v="0"/>
    <x v="1"/>
    <n v="1"/>
    <x v="0"/>
    <n v="0.22"/>
    <n v="0.21210000000000001"/>
    <x v="0"/>
    <n v="0.51"/>
    <x v="1"/>
    <n v="0.25369999999999998"/>
    <x v="1"/>
    <x v="0"/>
    <x v="31"/>
    <x v="2"/>
  </r>
  <r>
    <n v="359"/>
    <d v="2011-01-16T00:00:00"/>
    <x v="0"/>
    <x v="0"/>
    <x v="0"/>
    <x v="10"/>
    <x v="0"/>
    <n v="0"/>
    <x v="1"/>
    <n v="1"/>
    <x v="0"/>
    <n v="0.22"/>
    <n v="0.21210000000000001"/>
    <x v="0"/>
    <n v="0.51"/>
    <x v="1"/>
    <n v="0.28360000000000002"/>
    <x v="1"/>
    <x v="1"/>
    <x v="13"/>
    <x v="67"/>
  </r>
  <r>
    <n v="360"/>
    <d v="2011-01-16T00:00:00"/>
    <x v="0"/>
    <x v="0"/>
    <x v="0"/>
    <x v="11"/>
    <x v="0"/>
    <n v="0"/>
    <x v="1"/>
    <n v="1"/>
    <x v="0"/>
    <n v="0.24"/>
    <n v="0.2273"/>
    <x v="0"/>
    <n v="0.44"/>
    <x v="1"/>
    <n v="0.25369999999999998"/>
    <x v="1"/>
    <x v="29"/>
    <x v="14"/>
    <x v="15"/>
  </r>
  <r>
    <n v="361"/>
    <d v="2011-01-16T00:00:00"/>
    <x v="0"/>
    <x v="0"/>
    <x v="0"/>
    <x v="12"/>
    <x v="0"/>
    <n v="0"/>
    <x v="1"/>
    <n v="1"/>
    <x v="0"/>
    <n v="0.24"/>
    <n v="0.21210000000000001"/>
    <x v="0"/>
    <n v="0.41"/>
    <x v="1"/>
    <n v="0.28360000000000002"/>
    <x v="1"/>
    <x v="8"/>
    <x v="102"/>
    <x v="133"/>
  </r>
  <r>
    <n v="362"/>
    <d v="2011-01-16T00:00:00"/>
    <x v="0"/>
    <x v="0"/>
    <x v="0"/>
    <x v="13"/>
    <x v="0"/>
    <n v="0"/>
    <x v="1"/>
    <n v="1"/>
    <x v="0"/>
    <n v="0.26"/>
    <n v="0.2273"/>
    <x v="0"/>
    <n v="0.35"/>
    <x v="2"/>
    <n v="0.29849999999999999"/>
    <x v="1"/>
    <x v="29"/>
    <x v="73"/>
    <x v="130"/>
  </r>
  <r>
    <n v="363"/>
    <d v="2011-01-16T00:00:00"/>
    <x v="0"/>
    <x v="0"/>
    <x v="0"/>
    <x v="14"/>
    <x v="0"/>
    <n v="0"/>
    <x v="1"/>
    <n v="1"/>
    <x v="0"/>
    <n v="0.28000000000000003"/>
    <n v="0.2727"/>
    <x v="0"/>
    <n v="0.36"/>
    <x v="2"/>
    <n v="0.25369999999999998"/>
    <x v="1"/>
    <x v="30"/>
    <x v="94"/>
    <x v="134"/>
  </r>
  <r>
    <n v="364"/>
    <d v="2011-01-16T00:00:00"/>
    <x v="0"/>
    <x v="0"/>
    <x v="0"/>
    <x v="15"/>
    <x v="0"/>
    <n v="0"/>
    <x v="1"/>
    <n v="1"/>
    <x v="0"/>
    <n v="0.26"/>
    <n v="0.2424"/>
    <x v="0"/>
    <n v="0.38"/>
    <x v="2"/>
    <n v="0.25369999999999998"/>
    <x v="1"/>
    <x v="10"/>
    <x v="78"/>
    <x v="135"/>
  </r>
  <r>
    <n v="365"/>
    <d v="2011-01-16T00:00:00"/>
    <x v="0"/>
    <x v="0"/>
    <x v="0"/>
    <x v="16"/>
    <x v="0"/>
    <n v="0"/>
    <x v="1"/>
    <n v="1"/>
    <x v="0"/>
    <n v="0.24"/>
    <n v="0.2273"/>
    <x v="0"/>
    <n v="0.38"/>
    <x v="2"/>
    <n v="0.22389999999999999"/>
    <x v="1"/>
    <x v="30"/>
    <x v="99"/>
    <x v="111"/>
  </r>
  <r>
    <n v="366"/>
    <d v="2011-01-16T00:00:00"/>
    <x v="0"/>
    <x v="0"/>
    <x v="0"/>
    <x v="17"/>
    <x v="0"/>
    <n v="0"/>
    <x v="1"/>
    <n v="1"/>
    <x v="0"/>
    <n v="0.22"/>
    <n v="0.21210000000000001"/>
    <x v="0"/>
    <n v="0.37"/>
    <x v="2"/>
    <n v="0.25369999999999998"/>
    <x v="1"/>
    <x v="29"/>
    <x v="70"/>
    <x v="136"/>
  </r>
  <r>
    <n v="367"/>
    <d v="2011-01-16T00:00:00"/>
    <x v="0"/>
    <x v="0"/>
    <x v="0"/>
    <x v="18"/>
    <x v="0"/>
    <n v="0"/>
    <x v="1"/>
    <n v="1"/>
    <x v="0"/>
    <n v="0.2"/>
    <n v="0.21210000000000001"/>
    <x v="0"/>
    <n v="0.4"/>
    <x v="1"/>
    <n v="0.16420000000000001"/>
    <x v="0"/>
    <x v="16"/>
    <x v="90"/>
    <x v="16"/>
  </r>
  <r>
    <n v="368"/>
    <d v="2011-01-16T00:00:00"/>
    <x v="0"/>
    <x v="0"/>
    <x v="0"/>
    <x v="19"/>
    <x v="0"/>
    <n v="0"/>
    <x v="1"/>
    <n v="1"/>
    <x v="0"/>
    <n v="0.18"/>
    <n v="0.19700000000000001"/>
    <x v="0"/>
    <n v="0.47"/>
    <x v="1"/>
    <n v="0.1343"/>
    <x v="0"/>
    <x v="24"/>
    <x v="12"/>
    <x v="42"/>
  </r>
  <r>
    <n v="369"/>
    <d v="2011-01-16T00:00:00"/>
    <x v="0"/>
    <x v="0"/>
    <x v="0"/>
    <x v="20"/>
    <x v="0"/>
    <n v="0"/>
    <x v="1"/>
    <n v="1"/>
    <x v="0"/>
    <n v="0.18"/>
    <n v="0.19700000000000001"/>
    <x v="0"/>
    <n v="0.47"/>
    <x v="1"/>
    <n v="0.16420000000000001"/>
    <x v="0"/>
    <x v="18"/>
    <x v="54"/>
    <x v="52"/>
  </r>
  <r>
    <n v="370"/>
    <d v="2011-01-16T00:00:00"/>
    <x v="0"/>
    <x v="0"/>
    <x v="0"/>
    <x v="21"/>
    <x v="0"/>
    <n v="0"/>
    <x v="1"/>
    <n v="1"/>
    <x v="0"/>
    <n v="0.18"/>
    <n v="0.19700000000000001"/>
    <x v="0"/>
    <n v="0.51"/>
    <x v="1"/>
    <n v="0.16420000000000001"/>
    <x v="0"/>
    <x v="15"/>
    <x v="97"/>
    <x v="20"/>
  </r>
  <r>
    <n v="371"/>
    <d v="2011-01-16T00:00:00"/>
    <x v="0"/>
    <x v="0"/>
    <x v="0"/>
    <x v="22"/>
    <x v="0"/>
    <n v="0"/>
    <x v="1"/>
    <n v="2"/>
    <x v="1"/>
    <n v="0.2"/>
    <n v="0.21210000000000001"/>
    <x v="0"/>
    <n v="0.49"/>
    <x v="1"/>
    <n v="0.1343"/>
    <x v="0"/>
    <x v="4"/>
    <x v="23"/>
    <x v="137"/>
  </r>
  <r>
    <n v="372"/>
    <d v="2011-01-16T00:00:00"/>
    <x v="0"/>
    <x v="0"/>
    <x v="0"/>
    <x v="23"/>
    <x v="0"/>
    <n v="0"/>
    <x v="1"/>
    <n v="2"/>
    <x v="1"/>
    <n v="0.2"/>
    <n v="0.2273"/>
    <x v="0"/>
    <n v="0.4"/>
    <x v="1"/>
    <n v="0.1045"/>
    <x v="0"/>
    <x v="3"/>
    <x v="72"/>
    <x v="109"/>
  </r>
  <r>
    <n v="373"/>
    <d v="2011-01-17T00:00:00"/>
    <x v="0"/>
    <x v="0"/>
    <x v="0"/>
    <x v="0"/>
    <x v="1"/>
    <n v="1"/>
    <x v="2"/>
    <n v="2"/>
    <x v="1"/>
    <n v="0.2"/>
    <n v="0.19700000000000001"/>
    <x v="0"/>
    <n v="0.47"/>
    <x v="1"/>
    <n v="0.22389999999999999"/>
    <x v="1"/>
    <x v="5"/>
    <x v="20"/>
    <x v="22"/>
  </r>
  <r>
    <n v="374"/>
    <d v="2011-01-17T00:00:00"/>
    <x v="0"/>
    <x v="0"/>
    <x v="0"/>
    <x v="1"/>
    <x v="1"/>
    <n v="1"/>
    <x v="2"/>
    <n v="2"/>
    <x v="1"/>
    <n v="0.2"/>
    <n v="0.19700000000000001"/>
    <x v="0"/>
    <n v="0.44"/>
    <x v="1"/>
    <n v="0.19400000000000001"/>
    <x v="0"/>
    <x v="5"/>
    <x v="89"/>
    <x v="0"/>
  </r>
  <r>
    <n v="375"/>
    <d v="2011-01-17T00:00:00"/>
    <x v="0"/>
    <x v="0"/>
    <x v="0"/>
    <x v="2"/>
    <x v="1"/>
    <n v="1"/>
    <x v="2"/>
    <n v="2"/>
    <x v="1"/>
    <n v="0.18"/>
    <n v="0.16669999999999999"/>
    <x v="0"/>
    <n v="0.43"/>
    <x v="1"/>
    <n v="0.25369999999999998"/>
    <x v="1"/>
    <x v="3"/>
    <x v="21"/>
    <x v="7"/>
  </r>
  <r>
    <n v="376"/>
    <d v="2011-01-17T00:00:00"/>
    <x v="0"/>
    <x v="0"/>
    <x v="0"/>
    <x v="3"/>
    <x v="1"/>
    <n v="1"/>
    <x v="2"/>
    <n v="2"/>
    <x v="1"/>
    <n v="0.18"/>
    <n v="0.18179999999999999"/>
    <x v="0"/>
    <n v="0.43"/>
    <x v="1"/>
    <n v="0.19400000000000001"/>
    <x v="0"/>
    <x v="3"/>
    <x v="6"/>
    <x v="5"/>
  </r>
  <r>
    <n v="377"/>
    <d v="2011-01-17T00:00:00"/>
    <x v="0"/>
    <x v="0"/>
    <x v="0"/>
    <x v="4"/>
    <x v="1"/>
    <n v="1"/>
    <x v="2"/>
    <n v="2"/>
    <x v="1"/>
    <n v="0.18"/>
    <n v="0.19700000000000001"/>
    <x v="0"/>
    <n v="0.43"/>
    <x v="1"/>
    <n v="0.1343"/>
    <x v="0"/>
    <x v="5"/>
    <x v="6"/>
    <x v="6"/>
  </r>
  <r>
    <n v="378"/>
    <d v="2011-01-17T00:00:00"/>
    <x v="0"/>
    <x v="0"/>
    <x v="0"/>
    <x v="5"/>
    <x v="1"/>
    <n v="1"/>
    <x v="2"/>
    <n v="2"/>
    <x v="1"/>
    <n v="0.18"/>
    <n v="0.19700000000000001"/>
    <x v="0"/>
    <n v="0.43"/>
    <x v="1"/>
    <n v="0.16420000000000001"/>
    <x v="0"/>
    <x v="3"/>
    <x v="4"/>
    <x v="4"/>
  </r>
  <r>
    <n v="379"/>
    <d v="2011-01-17T00:00:00"/>
    <x v="0"/>
    <x v="0"/>
    <x v="0"/>
    <x v="6"/>
    <x v="1"/>
    <n v="1"/>
    <x v="2"/>
    <n v="2"/>
    <x v="1"/>
    <n v="0.18"/>
    <n v="0.18179999999999999"/>
    <x v="0"/>
    <n v="0.43"/>
    <x v="1"/>
    <n v="0.19400000000000001"/>
    <x v="0"/>
    <x v="3"/>
    <x v="34"/>
    <x v="36"/>
  </r>
  <r>
    <n v="380"/>
    <d v="2011-01-17T00:00:00"/>
    <x v="0"/>
    <x v="0"/>
    <x v="0"/>
    <x v="7"/>
    <x v="1"/>
    <n v="1"/>
    <x v="2"/>
    <n v="2"/>
    <x v="1"/>
    <n v="0.16"/>
    <n v="0.18179999999999999"/>
    <x v="0"/>
    <n v="0.5"/>
    <x v="1"/>
    <n v="0.1343"/>
    <x v="0"/>
    <x v="17"/>
    <x v="33"/>
    <x v="3"/>
  </r>
  <r>
    <n v="381"/>
    <d v="2011-01-17T00:00:00"/>
    <x v="0"/>
    <x v="0"/>
    <x v="0"/>
    <x v="8"/>
    <x v="1"/>
    <n v="1"/>
    <x v="2"/>
    <n v="2"/>
    <x v="1"/>
    <n v="0.16"/>
    <n v="0.1515"/>
    <x v="0"/>
    <n v="0.47"/>
    <x v="1"/>
    <n v="0.22389999999999999"/>
    <x v="1"/>
    <x v="0"/>
    <x v="10"/>
    <x v="63"/>
  </r>
  <r>
    <n v="382"/>
    <d v="2011-01-17T00:00:00"/>
    <x v="0"/>
    <x v="0"/>
    <x v="0"/>
    <x v="9"/>
    <x v="1"/>
    <n v="1"/>
    <x v="2"/>
    <n v="2"/>
    <x v="1"/>
    <n v="0.16"/>
    <n v="0.1515"/>
    <x v="0"/>
    <n v="0.47"/>
    <x v="1"/>
    <n v="0.22389999999999999"/>
    <x v="1"/>
    <x v="1"/>
    <x v="87"/>
    <x v="105"/>
  </r>
  <r>
    <n v="383"/>
    <d v="2011-01-17T00:00:00"/>
    <x v="0"/>
    <x v="0"/>
    <x v="0"/>
    <x v="10"/>
    <x v="1"/>
    <n v="1"/>
    <x v="2"/>
    <n v="2"/>
    <x v="1"/>
    <n v="0.16"/>
    <n v="0.1515"/>
    <x v="0"/>
    <n v="0.5"/>
    <x v="1"/>
    <n v="0.25369999999999998"/>
    <x v="1"/>
    <x v="18"/>
    <x v="54"/>
    <x v="52"/>
  </r>
  <r>
    <n v="384"/>
    <d v="2011-01-17T00:00:00"/>
    <x v="0"/>
    <x v="0"/>
    <x v="0"/>
    <x v="11"/>
    <x v="1"/>
    <n v="1"/>
    <x v="2"/>
    <n v="2"/>
    <x v="1"/>
    <n v="0.16"/>
    <n v="0.1515"/>
    <x v="0"/>
    <n v="0.55000000000000004"/>
    <x v="1"/>
    <n v="0.19400000000000001"/>
    <x v="0"/>
    <x v="14"/>
    <x v="11"/>
    <x v="37"/>
  </r>
  <r>
    <n v="385"/>
    <d v="2011-01-17T00:00:00"/>
    <x v="0"/>
    <x v="0"/>
    <x v="0"/>
    <x v="12"/>
    <x v="1"/>
    <n v="1"/>
    <x v="2"/>
    <n v="2"/>
    <x v="1"/>
    <n v="0.18"/>
    <n v="0.19700000000000001"/>
    <x v="0"/>
    <n v="0.47"/>
    <x v="1"/>
    <n v="0.1343"/>
    <x v="0"/>
    <x v="22"/>
    <x v="14"/>
    <x v="138"/>
  </r>
  <r>
    <n v="386"/>
    <d v="2011-01-17T00:00:00"/>
    <x v="0"/>
    <x v="0"/>
    <x v="0"/>
    <x v="13"/>
    <x v="1"/>
    <n v="1"/>
    <x v="2"/>
    <n v="2"/>
    <x v="1"/>
    <n v="0.18"/>
    <n v="0.19700000000000001"/>
    <x v="0"/>
    <n v="0.47"/>
    <x v="1"/>
    <n v="0.1343"/>
    <x v="0"/>
    <x v="23"/>
    <x v="122"/>
    <x v="15"/>
  </r>
  <r>
    <n v="387"/>
    <d v="2011-01-17T00:00:00"/>
    <x v="0"/>
    <x v="0"/>
    <x v="0"/>
    <x v="14"/>
    <x v="1"/>
    <n v="1"/>
    <x v="2"/>
    <n v="2"/>
    <x v="1"/>
    <n v="0.18"/>
    <n v="0.21210000000000001"/>
    <x v="0"/>
    <n v="0.43"/>
    <x v="1"/>
    <n v="0.1045"/>
    <x v="0"/>
    <x v="6"/>
    <x v="64"/>
    <x v="80"/>
  </r>
  <r>
    <n v="388"/>
    <d v="2011-01-17T00:00:00"/>
    <x v="0"/>
    <x v="0"/>
    <x v="0"/>
    <x v="15"/>
    <x v="1"/>
    <n v="1"/>
    <x v="2"/>
    <n v="2"/>
    <x v="1"/>
    <n v="0.2"/>
    <n v="0.21210000000000001"/>
    <x v="0"/>
    <n v="0.47"/>
    <x v="1"/>
    <n v="0.16420000000000001"/>
    <x v="0"/>
    <x v="27"/>
    <x v="109"/>
    <x v="15"/>
  </r>
  <r>
    <n v="389"/>
    <d v="2011-01-17T00:00:00"/>
    <x v="0"/>
    <x v="0"/>
    <x v="0"/>
    <x v="16"/>
    <x v="1"/>
    <n v="1"/>
    <x v="2"/>
    <n v="2"/>
    <x v="1"/>
    <n v="0.2"/>
    <n v="0.21210000000000001"/>
    <x v="0"/>
    <n v="0.47"/>
    <x v="1"/>
    <n v="0.16420000000000001"/>
    <x v="0"/>
    <x v="15"/>
    <x v="83"/>
    <x v="100"/>
  </r>
  <r>
    <n v="390"/>
    <d v="2011-01-17T00:00:00"/>
    <x v="0"/>
    <x v="0"/>
    <x v="0"/>
    <x v="17"/>
    <x v="1"/>
    <n v="1"/>
    <x v="2"/>
    <n v="1"/>
    <x v="0"/>
    <n v="0.2"/>
    <n v="0.19700000000000001"/>
    <x v="0"/>
    <n v="0.51"/>
    <x v="1"/>
    <n v="0.19400000000000001"/>
    <x v="0"/>
    <x v="17"/>
    <x v="28"/>
    <x v="68"/>
  </r>
  <r>
    <n v="391"/>
    <d v="2011-01-17T00:00:00"/>
    <x v="0"/>
    <x v="0"/>
    <x v="0"/>
    <x v="18"/>
    <x v="1"/>
    <n v="1"/>
    <x v="2"/>
    <n v="2"/>
    <x v="1"/>
    <n v="0.18"/>
    <n v="0.16669999999999999"/>
    <x v="0"/>
    <n v="0.55000000000000004"/>
    <x v="1"/>
    <n v="0.25369999999999998"/>
    <x v="1"/>
    <x v="18"/>
    <x v="66"/>
    <x v="101"/>
  </r>
  <r>
    <n v="392"/>
    <d v="2011-01-17T00:00:00"/>
    <x v="0"/>
    <x v="0"/>
    <x v="0"/>
    <x v="19"/>
    <x v="1"/>
    <n v="1"/>
    <x v="2"/>
    <n v="3"/>
    <x v="2"/>
    <n v="0.18"/>
    <n v="0.18179999999999999"/>
    <x v="0"/>
    <n v="0.59"/>
    <x v="1"/>
    <n v="0.19400000000000001"/>
    <x v="0"/>
    <x v="4"/>
    <x v="29"/>
    <x v="122"/>
  </r>
  <r>
    <n v="393"/>
    <d v="2011-01-17T00:00:00"/>
    <x v="0"/>
    <x v="0"/>
    <x v="0"/>
    <x v="20"/>
    <x v="1"/>
    <n v="1"/>
    <x v="2"/>
    <n v="3"/>
    <x v="2"/>
    <n v="0.16"/>
    <n v="0.1515"/>
    <x v="0"/>
    <n v="0.8"/>
    <x v="0"/>
    <n v="0.19400000000000001"/>
    <x v="0"/>
    <x v="17"/>
    <x v="31"/>
    <x v="63"/>
  </r>
  <r>
    <n v="394"/>
    <d v="2011-01-17T00:00:00"/>
    <x v="0"/>
    <x v="0"/>
    <x v="0"/>
    <x v="21"/>
    <x v="1"/>
    <n v="1"/>
    <x v="2"/>
    <n v="3"/>
    <x v="2"/>
    <n v="0.16"/>
    <n v="0.1515"/>
    <x v="0"/>
    <n v="0.8"/>
    <x v="0"/>
    <n v="0.19400000000000001"/>
    <x v="0"/>
    <x v="0"/>
    <x v="9"/>
    <x v="110"/>
  </r>
  <r>
    <n v="395"/>
    <d v="2011-01-17T00:00:00"/>
    <x v="0"/>
    <x v="0"/>
    <x v="0"/>
    <x v="22"/>
    <x v="1"/>
    <n v="1"/>
    <x v="2"/>
    <n v="3"/>
    <x v="2"/>
    <n v="0.14000000000000001"/>
    <n v="0.1212"/>
    <x v="0"/>
    <n v="0.93"/>
    <x v="0"/>
    <n v="0.25369999999999998"/>
    <x v="1"/>
    <x v="3"/>
    <x v="0"/>
    <x v="3"/>
  </r>
  <r>
    <n v="396"/>
    <d v="2011-01-17T00:00:00"/>
    <x v="0"/>
    <x v="0"/>
    <x v="0"/>
    <x v="23"/>
    <x v="1"/>
    <n v="1"/>
    <x v="2"/>
    <n v="3"/>
    <x v="2"/>
    <n v="0.16"/>
    <n v="0.13639999999999999"/>
    <x v="0"/>
    <n v="0.86"/>
    <x v="0"/>
    <n v="0.28360000000000002"/>
    <x v="1"/>
    <x v="5"/>
    <x v="35"/>
    <x v="48"/>
  </r>
  <r>
    <n v="397"/>
    <d v="2011-01-18T00:00:00"/>
    <x v="0"/>
    <x v="0"/>
    <x v="0"/>
    <x v="12"/>
    <x v="0"/>
    <n v="2"/>
    <x v="3"/>
    <n v="2"/>
    <x v="1"/>
    <n v="0.2"/>
    <n v="0.18179999999999999"/>
    <x v="0"/>
    <n v="0.86"/>
    <x v="0"/>
    <n v="0.32840000000000003"/>
    <x v="1"/>
    <x v="3"/>
    <x v="35"/>
    <x v="6"/>
  </r>
  <r>
    <n v="398"/>
    <d v="2011-01-18T00:00:00"/>
    <x v="0"/>
    <x v="0"/>
    <x v="0"/>
    <x v="13"/>
    <x v="0"/>
    <n v="2"/>
    <x v="3"/>
    <n v="2"/>
    <x v="1"/>
    <n v="0.2"/>
    <n v="0.19700000000000001"/>
    <x v="0"/>
    <n v="0.86"/>
    <x v="0"/>
    <n v="0.22389999999999999"/>
    <x v="1"/>
    <x v="3"/>
    <x v="97"/>
    <x v="34"/>
  </r>
  <r>
    <n v="399"/>
    <d v="2011-01-18T00:00:00"/>
    <x v="0"/>
    <x v="0"/>
    <x v="0"/>
    <x v="14"/>
    <x v="0"/>
    <n v="2"/>
    <x v="3"/>
    <n v="2"/>
    <x v="1"/>
    <n v="0.22"/>
    <n v="0.2273"/>
    <x v="0"/>
    <n v="0.8"/>
    <x v="0"/>
    <n v="0.16420000000000001"/>
    <x v="0"/>
    <x v="4"/>
    <x v="16"/>
    <x v="20"/>
  </r>
  <r>
    <n v="400"/>
    <d v="2011-01-18T00:00:00"/>
    <x v="0"/>
    <x v="0"/>
    <x v="0"/>
    <x v="15"/>
    <x v="0"/>
    <n v="2"/>
    <x v="3"/>
    <n v="2"/>
    <x v="1"/>
    <n v="0.22"/>
    <n v="0.2273"/>
    <x v="0"/>
    <n v="0.87"/>
    <x v="0"/>
    <n v="0.16420000000000001"/>
    <x v="0"/>
    <x v="0"/>
    <x v="1"/>
    <x v="17"/>
  </r>
  <r>
    <n v="401"/>
    <d v="2011-01-18T00:00:00"/>
    <x v="0"/>
    <x v="0"/>
    <x v="0"/>
    <x v="16"/>
    <x v="0"/>
    <n v="2"/>
    <x v="3"/>
    <n v="2"/>
    <x v="1"/>
    <n v="0.22"/>
    <n v="0.2273"/>
    <x v="0"/>
    <n v="0.87"/>
    <x v="0"/>
    <n v="0.19400000000000001"/>
    <x v="0"/>
    <x v="3"/>
    <x v="124"/>
    <x v="42"/>
  </r>
  <r>
    <n v="402"/>
    <d v="2011-01-18T00:00:00"/>
    <x v="0"/>
    <x v="0"/>
    <x v="0"/>
    <x v="17"/>
    <x v="0"/>
    <n v="2"/>
    <x v="3"/>
    <n v="2"/>
    <x v="1"/>
    <n v="0.22"/>
    <n v="0.2273"/>
    <x v="0"/>
    <n v="0.82"/>
    <x v="0"/>
    <n v="0.19400000000000001"/>
    <x v="0"/>
    <x v="5"/>
    <x v="125"/>
    <x v="139"/>
  </r>
  <r>
    <n v="403"/>
    <d v="2011-01-18T00:00:00"/>
    <x v="0"/>
    <x v="0"/>
    <x v="0"/>
    <x v="18"/>
    <x v="0"/>
    <n v="2"/>
    <x v="3"/>
    <n v="2"/>
    <x v="1"/>
    <n v="0.22"/>
    <n v="0.2273"/>
    <x v="0"/>
    <n v="0.8"/>
    <x v="0"/>
    <n v="0.16420000000000001"/>
    <x v="0"/>
    <x v="5"/>
    <x v="126"/>
    <x v="140"/>
  </r>
  <r>
    <n v="404"/>
    <d v="2011-01-18T00:00:00"/>
    <x v="0"/>
    <x v="0"/>
    <x v="0"/>
    <x v="19"/>
    <x v="0"/>
    <n v="2"/>
    <x v="3"/>
    <n v="2"/>
    <x v="1"/>
    <n v="0.22"/>
    <n v="0.2273"/>
    <x v="0"/>
    <n v="0.8"/>
    <x v="0"/>
    <n v="0.1343"/>
    <x v="0"/>
    <x v="5"/>
    <x v="52"/>
    <x v="111"/>
  </r>
  <r>
    <n v="405"/>
    <d v="2011-01-18T00:00:00"/>
    <x v="0"/>
    <x v="0"/>
    <x v="0"/>
    <x v="20"/>
    <x v="0"/>
    <n v="2"/>
    <x v="3"/>
    <n v="2"/>
    <x v="1"/>
    <n v="0.22"/>
    <n v="0.2727"/>
    <x v="0"/>
    <n v="0.87"/>
    <x v="0"/>
    <n v="0"/>
    <x v="0"/>
    <x v="3"/>
    <x v="93"/>
    <x v="56"/>
  </r>
  <r>
    <n v="406"/>
    <d v="2011-01-18T00:00:00"/>
    <x v="0"/>
    <x v="0"/>
    <x v="0"/>
    <x v="21"/>
    <x v="0"/>
    <n v="2"/>
    <x v="3"/>
    <n v="2"/>
    <x v="1"/>
    <n v="0.22"/>
    <n v="0.2424"/>
    <x v="0"/>
    <n v="0.93"/>
    <x v="0"/>
    <n v="0.1045"/>
    <x v="0"/>
    <x v="3"/>
    <x v="40"/>
    <x v="102"/>
  </r>
  <r>
    <n v="407"/>
    <d v="2011-01-18T00:00:00"/>
    <x v="0"/>
    <x v="0"/>
    <x v="0"/>
    <x v="22"/>
    <x v="0"/>
    <n v="2"/>
    <x v="3"/>
    <n v="2"/>
    <x v="1"/>
    <n v="0.22"/>
    <n v="0.2576"/>
    <x v="0"/>
    <n v="0.93"/>
    <x v="0"/>
    <n v="8.9599999999999999E-2"/>
    <x v="0"/>
    <x v="3"/>
    <x v="39"/>
    <x v="63"/>
  </r>
  <r>
    <n v="408"/>
    <d v="2011-01-18T00:00:00"/>
    <x v="0"/>
    <x v="0"/>
    <x v="0"/>
    <x v="23"/>
    <x v="0"/>
    <n v="2"/>
    <x v="3"/>
    <n v="2"/>
    <x v="1"/>
    <n v="0.22"/>
    <n v="0.2727"/>
    <x v="0"/>
    <n v="0.93"/>
    <x v="0"/>
    <n v="0"/>
    <x v="0"/>
    <x v="5"/>
    <x v="23"/>
    <x v="25"/>
  </r>
  <r>
    <n v="409"/>
    <d v="2011-01-19T00:00:00"/>
    <x v="0"/>
    <x v="0"/>
    <x v="0"/>
    <x v="0"/>
    <x v="0"/>
    <n v="3"/>
    <x v="4"/>
    <n v="2"/>
    <x v="1"/>
    <n v="0.22"/>
    <n v="0.2727"/>
    <x v="0"/>
    <n v="0.93"/>
    <x v="0"/>
    <n v="0"/>
    <x v="0"/>
    <x v="3"/>
    <x v="35"/>
    <x v="6"/>
  </r>
  <r>
    <n v="410"/>
    <d v="2011-01-19T00:00:00"/>
    <x v="0"/>
    <x v="0"/>
    <x v="0"/>
    <x v="1"/>
    <x v="0"/>
    <n v="3"/>
    <x v="4"/>
    <n v="3"/>
    <x v="2"/>
    <n v="0.22"/>
    <n v="0.2273"/>
    <x v="0"/>
    <n v="0.93"/>
    <x v="0"/>
    <n v="0.1343"/>
    <x v="0"/>
    <x v="5"/>
    <x v="8"/>
    <x v="85"/>
  </r>
  <r>
    <n v="411"/>
    <d v="2011-01-19T00:00:00"/>
    <x v="0"/>
    <x v="0"/>
    <x v="0"/>
    <x v="2"/>
    <x v="0"/>
    <n v="3"/>
    <x v="4"/>
    <n v="3"/>
    <x v="2"/>
    <n v="0.22"/>
    <n v="0.2273"/>
    <x v="0"/>
    <n v="0.93"/>
    <x v="0"/>
    <n v="0.1343"/>
    <x v="0"/>
    <x v="3"/>
    <x v="35"/>
    <x v="6"/>
  </r>
  <r>
    <n v="412"/>
    <d v="2011-01-19T00:00:00"/>
    <x v="0"/>
    <x v="0"/>
    <x v="0"/>
    <x v="4"/>
    <x v="0"/>
    <n v="3"/>
    <x v="4"/>
    <n v="3"/>
    <x v="2"/>
    <n v="0.22"/>
    <n v="0.2273"/>
    <x v="0"/>
    <n v="0.93"/>
    <x v="0"/>
    <n v="0.1343"/>
    <x v="0"/>
    <x v="5"/>
    <x v="4"/>
    <x v="5"/>
  </r>
  <r>
    <n v="413"/>
    <d v="2011-01-19T00:00:00"/>
    <x v="0"/>
    <x v="0"/>
    <x v="0"/>
    <x v="5"/>
    <x v="0"/>
    <n v="3"/>
    <x v="4"/>
    <n v="2"/>
    <x v="1"/>
    <n v="0.22"/>
    <n v="0.2576"/>
    <x v="0"/>
    <n v="0.93"/>
    <x v="0"/>
    <n v="8.9599999999999999E-2"/>
    <x v="0"/>
    <x v="3"/>
    <x v="7"/>
    <x v="85"/>
  </r>
  <r>
    <n v="414"/>
    <d v="2011-01-19T00:00:00"/>
    <x v="0"/>
    <x v="0"/>
    <x v="0"/>
    <x v="6"/>
    <x v="0"/>
    <n v="3"/>
    <x v="4"/>
    <n v="2"/>
    <x v="1"/>
    <n v="0.22"/>
    <n v="0.2576"/>
    <x v="0"/>
    <n v="0.93"/>
    <x v="0"/>
    <n v="8.9599999999999999E-2"/>
    <x v="0"/>
    <x v="3"/>
    <x v="1"/>
    <x v="2"/>
  </r>
  <r>
    <n v="415"/>
    <d v="2011-01-19T00:00:00"/>
    <x v="0"/>
    <x v="0"/>
    <x v="0"/>
    <x v="7"/>
    <x v="0"/>
    <n v="3"/>
    <x v="4"/>
    <n v="2"/>
    <x v="1"/>
    <n v="0.24"/>
    <n v="0.2576"/>
    <x v="0"/>
    <n v="0.92"/>
    <x v="0"/>
    <n v="0.1045"/>
    <x v="0"/>
    <x v="5"/>
    <x v="121"/>
    <x v="127"/>
  </r>
  <r>
    <n v="416"/>
    <d v="2011-01-19T00:00:00"/>
    <x v="0"/>
    <x v="0"/>
    <x v="0"/>
    <x v="8"/>
    <x v="0"/>
    <n v="3"/>
    <x v="4"/>
    <n v="2"/>
    <x v="1"/>
    <n v="0.24"/>
    <n v="0.2576"/>
    <x v="0"/>
    <n v="0.93"/>
    <x v="0"/>
    <n v="0.1045"/>
    <x v="0"/>
    <x v="5"/>
    <x v="127"/>
    <x v="141"/>
  </r>
  <r>
    <n v="417"/>
    <d v="2011-01-19T00:00:00"/>
    <x v="0"/>
    <x v="0"/>
    <x v="0"/>
    <x v="9"/>
    <x v="0"/>
    <n v="3"/>
    <x v="4"/>
    <n v="2"/>
    <x v="1"/>
    <n v="0.24"/>
    <n v="0.2576"/>
    <x v="0"/>
    <n v="0.93"/>
    <x v="0"/>
    <n v="0.1045"/>
    <x v="0"/>
    <x v="4"/>
    <x v="128"/>
    <x v="142"/>
  </r>
  <r>
    <n v="418"/>
    <d v="2011-01-19T00:00:00"/>
    <x v="0"/>
    <x v="0"/>
    <x v="0"/>
    <x v="10"/>
    <x v="0"/>
    <n v="3"/>
    <x v="4"/>
    <n v="2"/>
    <x v="1"/>
    <n v="0.26"/>
    <n v="0.2727"/>
    <x v="0"/>
    <n v="0.93"/>
    <x v="0"/>
    <n v="0.1343"/>
    <x v="0"/>
    <x v="5"/>
    <x v="24"/>
    <x v="105"/>
  </r>
  <r>
    <n v="419"/>
    <d v="2011-01-19T00:00:00"/>
    <x v="0"/>
    <x v="0"/>
    <x v="0"/>
    <x v="11"/>
    <x v="0"/>
    <n v="3"/>
    <x v="4"/>
    <n v="2"/>
    <x v="1"/>
    <n v="0.28000000000000003"/>
    <n v="0.30299999999999999"/>
    <x v="1"/>
    <n v="0.87"/>
    <x v="0"/>
    <n v="8.9599999999999999E-2"/>
    <x v="0"/>
    <x v="2"/>
    <x v="12"/>
    <x v="46"/>
  </r>
  <r>
    <n v="420"/>
    <d v="2011-01-19T00:00:00"/>
    <x v="0"/>
    <x v="0"/>
    <x v="0"/>
    <x v="12"/>
    <x v="0"/>
    <n v="3"/>
    <x v="4"/>
    <n v="2"/>
    <x v="1"/>
    <n v="0.3"/>
    <n v="0.31819999999999998"/>
    <x v="1"/>
    <n v="0.81"/>
    <x v="0"/>
    <n v="8.9599999999999999E-2"/>
    <x v="0"/>
    <x v="2"/>
    <x v="65"/>
    <x v="27"/>
  </r>
  <r>
    <n v="421"/>
    <d v="2011-01-19T00:00:00"/>
    <x v="0"/>
    <x v="0"/>
    <x v="0"/>
    <x v="13"/>
    <x v="0"/>
    <n v="3"/>
    <x v="4"/>
    <n v="1"/>
    <x v="0"/>
    <n v="0.4"/>
    <n v="0.40910000000000002"/>
    <x v="1"/>
    <n v="0.62"/>
    <x v="1"/>
    <n v="0.28360000000000002"/>
    <x v="1"/>
    <x v="16"/>
    <x v="28"/>
    <x v="53"/>
  </r>
  <r>
    <n v="422"/>
    <d v="2011-01-19T00:00:00"/>
    <x v="0"/>
    <x v="0"/>
    <x v="0"/>
    <x v="14"/>
    <x v="0"/>
    <n v="3"/>
    <x v="4"/>
    <n v="1"/>
    <x v="0"/>
    <n v="0.4"/>
    <n v="0.40910000000000002"/>
    <x v="1"/>
    <n v="0.57999999999999996"/>
    <x v="1"/>
    <n v="0.25369999999999998"/>
    <x v="1"/>
    <x v="18"/>
    <x v="56"/>
    <x v="28"/>
  </r>
  <r>
    <n v="423"/>
    <d v="2011-01-19T00:00:00"/>
    <x v="0"/>
    <x v="0"/>
    <x v="0"/>
    <x v="15"/>
    <x v="0"/>
    <n v="3"/>
    <x v="4"/>
    <n v="1"/>
    <x v="0"/>
    <n v="0.4"/>
    <n v="0.40910000000000002"/>
    <x v="1"/>
    <n v="0.54"/>
    <x v="1"/>
    <n v="0.28360000000000002"/>
    <x v="1"/>
    <x v="17"/>
    <x v="78"/>
    <x v="100"/>
  </r>
  <r>
    <n v="424"/>
    <d v="2011-01-19T00:00:00"/>
    <x v="0"/>
    <x v="0"/>
    <x v="0"/>
    <x v="16"/>
    <x v="0"/>
    <n v="3"/>
    <x v="4"/>
    <n v="1"/>
    <x v="0"/>
    <n v="0.38"/>
    <n v="0.39389999999999997"/>
    <x v="1"/>
    <n v="0.57999999999999996"/>
    <x v="1"/>
    <n v="0.3881"/>
    <x v="1"/>
    <x v="22"/>
    <x v="111"/>
    <x v="133"/>
  </r>
  <r>
    <n v="425"/>
    <d v="2011-01-19T00:00:00"/>
    <x v="0"/>
    <x v="0"/>
    <x v="0"/>
    <x v="17"/>
    <x v="0"/>
    <n v="3"/>
    <x v="4"/>
    <n v="1"/>
    <x v="0"/>
    <n v="0.36"/>
    <n v="0.33329999999999999"/>
    <x v="1"/>
    <n v="0.56999999999999995"/>
    <x v="1"/>
    <n v="0.32840000000000003"/>
    <x v="1"/>
    <x v="18"/>
    <x v="84"/>
    <x v="141"/>
  </r>
  <r>
    <n v="426"/>
    <d v="2011-01-19T00:00:00"/>
    <x v="0"/>
    <x v="0"/>
    <x v="0"/>
    <x v="18"/>
    <x v="0"/>
    <n v="3"/>
    <x v="4"/>
    <n v="1"/>
    <x v="0"/>
    <n v="0.34"/>
    <n v="0.31819999999999998"/>
    <x v="1"/>
    <n v="0.61"/>
    <x v="1"/>
    <n v="0.28360000000000002"/>
    <x v="1"/>
    <x v="2"/>
    <x v="117"/>
    <x v="143"/>
  </r>
  <r>
    <n v="427"/>
    <d v="2011-01-19T00:00:00"/>
    <x v="0"/>
    <x v="0"/>
    <x v="0"/>
    <x v="19"/>
    <x v="0"/>
    <n v="3"/>
    <x v="4"/>
    <n v="1"/>
    <x v="0"/>
    <n v="0.32"/>
    <n v="0.28789999999999999"/>
    <x v="0"/>
    <n v="0.56999999999999995"/>
    <x v="1"/>
    <n v="0.41789999999999999"/>
    <x v="1"/>
    <x v="17"/>
    <x v="123"/>
    <x v="59"/>
  </r>
  <r>
    <n v="428"/>
    <d v="2011-01-19T00:00:00"/>
    <x v="0"/>
    <x v="0"/>
    <x v="0"/>
    <x v="20"/>
    <x v="0"/>
    <n v="3"/>
    <x v="4"/>
    <n v="1"/>
    <x v="0"/>
    <n v="0.32"/>
    <n v="0.30299999999999999"/>
    <x v="1"/>
    <n v="0.49"/>
    <x v="1"/>
    <n v="0.29849999999999999"/>
    <x v="1"/>
    <x v="4"/>
    <x v="64"/>
    <x v="31"/>
  </r>
  <r>
    <n v="429"/>
    <d v="2011-01-19T00:00:00"/>
    <x v="0"/>
    <x v="0"/>
    <x v="0"/>
    <x v="21"/>
    <x v="0"/>
    <n v="3"/>
    <x v="4"/>
    <n v="1"/>
    <x v="0"/>
    <n v="0.32"/>
    <n v="0.28789999999999999"/>
    <x v="0"/>
    <n v="0.49"/>
    <x v="1"/>
    <n v="0.41789999999999999"/>
    <x v="1"/>
    <x v="17"/>
    <x v="11"/>
    <x v="29"/>
  </r>
  <r>
    <n v="430"/>
    <d v="2011-01-19T00:00:00"/>
    <x v="0"/>
    <x v="0"/>
    <x v="0"/>
    <x v="22"/>
    <x v="0"/>
    <n v="3"/>
    <x v="4"/>
    <n v="1"/>
    <x v="0"/>
    <n v="0.3"/>
    <n v="0.30299999999999999"/>
    <x v="1"/>
    <n v="0.52"/>
    <x v="1"/>
    <n v="0.16420000000000001"/>
    <x v="0"/>
    <x v="15"/>
    <x v="42"/>
    <x v="29"/>
  </r>
  <r>
    <n v="431"/>
    <d v="2011-01-19T00:00:00"/>
    <x v="0"/>
    <x v="0"/>
    <x v="0"/>
    <x v="23"/>
    <x v="0"/>
    <n v="3"/>
    <x v="4"/>
    <n v="1"/>
    <x v="0"/>
    <n v="0.3"/>
    <n v="0.2727"/>
    <x v="0"/>
    <n v="0.52"/>
    <x v="1"/>
    <n v="0.4627"/>
    <x v="1"/>
    <x v="5"/>
    <x v="2"/>
    <x v="20"/>
  </r>
  <r>
    <n v="432"/>
    <d v="2011-01-20T00:00:00"/>
    <x v="0"/>
    <x v="0"/>
    <x v="0"/>
    <x v="0"/>
    <x v="0"/>
    <n v="4"/>
    <x v="5"/>
    <n v="1"/>
    <x v="0"/>
    <n v="0.26"/>
    <n v="0.2273"/>
    <x v="0"/>
    <n v="0.56000000000000005"/>
    <x v="1"/>
    <n v="0.3881"/>
    <x v="1"/>
    <x v="2"/>
    <x v="21"/>
    <x v="3"/>
  </r>
  <r>
    <n v="433"/>
    <d v="2011-01-20T00:00:00"/>
    <x v="0"/>
    <x v="0"/>
    <x v="0"/>
    <x v="1"/>
    <x v="0"/>
    <n v="4"/>
    <x v="5"/>
    <n v="1"/>
    <x v="0"/>
    <n v="0.26"/>
    <n v="0.2727"/>
    <x v="0"/>
    <n v="0.56000000000000005"/>
    <x v="1"/>
    <n v="0"/>
    <x v="0"/>
    <x v="4"/>
    <x v="35"/>
    <x v="36"/>
  </r>
  <r>
    <n v="434"/>
    <d v="2011-01-20T00:00:00"/>
    <x v="0"/>
    <x v="0"/>
    <x v="0"/>
    <x v="2"/>
    <x v="0"/>
    <n v="4"/>
    <x v="5"/>
    <n v="1"/>
    <x v="0"/>
    <n v="0.26"/>
    <n v="0.2727"/>
    <x v="0"/>
    <n v="0.56000000000000005"/>
    <x v="1"/>
    <n v="0"/>
    <x v="0"/>
    <x v="3"/>
    <x v="6"/>
    <x v="5"/>
  </r>
  <r>
    <n v="435"/>
    <d v="2011-01-20T00:00:00"/>
    <x v="0"/>
    <x v="0"/>
    <x v="0"/>
    <x v="3"/>
    <x v="0"/>
    <n v="4"/>
    <x v="5"/>
    <n v="1"/>
    <x v="0"/>
    <n v="0.26"/>
    <n v="0.2576"/>
    <x v="0"/>
    <n v="0.56000000000000005"/>
    <x v="1"/>
    <n v="0.16420000000000001"/>
    <x v="0"/>
    <x v="3"/>
    <x v="4"/>
    <x v="4"/>
  </r>
  <r>
    <n v="436"/>
    <d v="2011-01-20T00:00:00"/>
    <x v="0"/>
    <x v="0"/>
    <x v="0"/>
    <x v="4"/>
    <x v="0"/>
    <n v="4"/>
    <x v="5"/>
    <n v="1"/>
    <x v="0"/>
    <n v="0.26"/>
    <n v="0.2576"/>
    <x v="0"/>
    <n v="0.56000000000000005"/>
    <x v="1"/>
    <n v="0.16420000000000001"/>
    <x v="0"/>
    <x v="3"/>
    <x v="4"/>
    <x v="4"/>
  </r>
  <r>
    <n v="437"/>
    <d v="2011-01-20T00:00:00"/>
    <x v="0"/>
    <x v="0"/>
    <x v="0"/>
    <x v="5"/>
    <x v="0"/>
    <n v="4"/>
    <x v="5"/>
    <n v="1"/>
    <x v="0"/>
    <n v="0.24"/>
    <n v="0.2273"/>
    <x v="0"/>
    <n v="0.6"/>
    <x v="1"/>
    <n v="0.22389999999999999"/>
    <x v="1"/>
    <x v="3"/>
    <x v="8"/>
    <x v="24"/>
  </r>
  <r>
    <n v="438"/>
    <d v="2011-01-20T00:00:00"/>
    <x v="0"/>
    <x v="0"/>
    <x v="0"/>
    <x v="6"/>
    <x v="0"/>
    <n v="4"/>
    <x v="5"/>
    <n v="1"/>
    <x v="0"/>
    <n v="0.22"/>
    <n v="0.21210000000000001"/>
    <x v="0"/>
    <n v="0.6"/>
    <x v="1"/>
    <n v="0.22389999999999999"/>
    <x v="1"/>
    <x v="3"/>
    <x v="96"/>
    <x v="17"/>
  </r>
  <r>
    <n v="439"/>
    <d v="2011-01-20T00:00:00"/>
    <x v="0"/>
    <x v="0"/>
    <x v="0"/>
    <x v="7"/>
    <x v="0"/>
    <n v="4"/>
    <x v="5"/>
    <n v="1"/>
    <x v="0"/>
    <n v="0.22"/>
    <n v="0.21210000000000001"/>
    <x v="0"/>
    <n v="0.55000000000000004"/>
    <x v="1"/>
    <n v="0.22389999999999999"/>
    <x v="1"/>
    <x v="5"/>
    <x v="129"/>
    <x v="129"/>
  </r>
  <r>
    <n v="440"/>
    <d v="2011-01-20T00:00:00"/>
    <x v="0"/>
    <x v="0"/>
    <x v="0"/>
    <x v="8"/>
    <x v="0"/>
    <n v="4"/>
    <x v="5"/>
    <n v="1"/>
    <x v="0"/>
    <n v="0.22"/>
    <n v="0.21210000000000001"/>
    <x v="0"/>
    <n v="0.55000000000000004"/>
    <x v="1"/>
    <n v="0.28360000000000002"/>
    <x v="1"/>
    <x v="4"/>
    <x v="130"/>
    <x v="144"/>
  </r>
  <r>
    <n v="441"/>
    <d v="2011-01-20T00:00:00"/>
    <x v="0"/>
    <x v="0"/>
    <x v="0"/>
    <x v="9"/>
    <x v="0"/>
    <n v="4"/>
    <x v="5"/>
    <n v="2"/>
    <x v="1"/>
    <n v="0.24"/>
    <n v="0.2273"/>
    <x v="0"/>
    <n v="0.52"/>
    <x v="1"/>
    <n v="0.22389999999999999"/>
    <x v="1"/>
    <x v="0"/>
    <x v="131"/>
    <x v="145"/>
  </r>
  <r>
    <n v="442"/>
    <d v="2011-01-20T00:00:00"/>
    <x v="0"/>
    <x v="0"/>
    <x v="0"/>
    <x v="10"/>
    <x v="0"/>
    <n v="4"/>
    <x v="5"/>
    <n v="1"/>
    <x v="0"/>
    <n v="0.26"/>
    <n v="0.2273"/>
    <x v="0"/>
    <n v="0.48"/>
    <x v="1"/>
    <n v="0.29849999999999999"/>
    <x v="1"/>
    <x v="5"/>
    <x v="90"/>
    <x v="52"/>
  </r>
  <r>
    <n v="443"/>
    <d v="2011-01-20T00:00:00"/>
    <x v="0"/>
    <x v="0"/>
    <x v="0"/>
    <x v="11"/>
    <x v="0"/>
    <n v="4"/>
    <x v="5"/>
    <n v="2"/>
    <x v="1"/>
    <n v="0.28000000000000003"/>
    <n v="0.2727"/>
    <x v="0"/>
    <n v="0.45"/>
    <x v="1"/>
    <n v="0.16420000000000001"/>
    <x v="0"/>
    <x v="2"/>
    <x v="36"/>
    <x v="118"/>
  </r>
  <r>
    <n v="444"/>
    <d v="2011-01-20T00:00:00"/>
    <x v="0"/>
    <x v="0"/>
    <x v="0"/>
    <x v="12"/>
    <x v="0"/>
    <n v="4"/>
    <x v="5"/>
    <n v="2"/>
    <x v="1"/>
    <n v="0.3"/>
    <n v="0.33329999999999999"/>
    <x v="1"/>
    <n v="0.42"/>
    <x v="1"/>
    <n v="0"/>
    <x v="0"/>
    <x v="18"/>
    <x v="99"/>
    <x v="11"/>
  </r>
  <r>
    <n v="445"/>
    <d v="2011-01-20T00:00:00"/>
    <x v="0"/>
    <x v="0"/>
    <x v="0"/>
    <x v="13"/>
    <x v="0"/>
    <n v="4"/>
    <x v="5"/>
    <n v="2"/>
    <x v="1"/>
    <n v="0.28000000000000003"/>
    <n v="0.28789999999999999"/>
    <x v="0"/>
    <n v="0.45"/>
    <x v="1"/>
    <n v="0.1045"/>
    <x v="0"/>
    <x v="6"/>
    <x v="132"/>
    <x v="95"/>
  </r>
  <r>
    <n v="446"/>
    <d v="2011-01-20T00:00:00"/>
    <x v="0"/>
    <x v="0"/>
    <x v="0"/>
    <x v="14"/>
    <x v="0"/>
    <n v="4"/>
    <x v="5"/>
    <n v="2"/>
    <x v="1"/>
    <n v="0.3"/>
    <n v="0.30299999999999999"/>
    <x v="1"/>
    <n v="0.45"/>
    <x v="1"/>
    <n v="0.1343"/>
    <x v="0"/>
    <x v="15"/>
    <x v="102"/>
    <x v="117"/>
  </r>
  <r>
    <n v="447"/>
    <d v="2011-01-20T00:00:00"/>
    <x v="0"/>
    <x v="0"/>
    <x v="0"/>
    <x v="15"/>
    <x v="0"/>
    <n v="4"/>
    <x v="5"/>
    <n v="2"/>
    <x v="1"/>
    <n v="0.32"/>
    <n v="0.31819999999999998"/>
    <x v="1"/>
    <n v="0.45"/>
    <x v="1"/>
    <n v="0.19400000000000001"/>
    <x v="0"/>
    <x v="1"/>
    <x v="133"/>
    <x v="27"/>
  </r>
  <r>
    <n v="448"/>
    <d v="2011-01-20T00:00:00"/>
    <x v="0"/>
    <x v="0"/>
    <x v="0"/>
    <x v="16"/>
    <x v="0"/>
    <n v="4"/>
    <x v="5"/>
    <n v="2"/>
    <x v="1"/>
    <n v="0.3"/>
    <n v="0.30299999999999999"/>
    <x v="1"/>
    <n v="0.49"/>
    <x v="1"/>
    <n v="0.1343"/>
    <x v="0"/>
    <x v="1"/>
    <x v="93"/>
    <x v="134"/>
  </r>
  <r>
    <n v="449"/>
    <d v="2011-01-20T00:00:00"/>
    <x v="0"/>
    <x v="0"/>
    <x v="0"/>
    <x v="17"/>
    <x v="0"/>
    <n v="4"/>
    <x v="5"/>
    <n v="2"/>
    <x v="1"/>
    <n v="0.3"/>
    <n v="0.31819999999999998"/>
    <x v="1"/>
    <n v="0.49"/>
    <x v="1"/>
    <n v="0.1045"/>
    <x v="0"/>
    <x v="1"/>
    <x v="134"/>
    <x v="146"/>
  </r>
  <r>
    <n v="450"/>
    <d v="2011-01-20T00:00:00"/>
    <x v="0"/>
    <x v="0"/>
    <x v="0"/>
    <x v="18"/>
    <x v="0"/>
    <n v="4"/>
    <x v="5"/>
    <n v="2"/>
    <x v="1"/>
    <n v="0.26"/>
    <n v="0.2576"/>
    <x v="0"/>
    <n v="0.56000000000000005"/>
    <x v="1"/>
    <n v="0.19400000000000001"/>
    <x v="0"/>
    <x v="5"/>
    <x v="103"/>
    <x v="147"/>
  </r>
  <r>
    <n v="451"/>
    <d v="2011-01-20T00:00:00"/>
    <x v="0"/>
    <x v="0"/>
    <x v="0"/>
    <x v="19"/>
    <x v="0"/>
    <n v="4"/>
    <x v="5"/>
    <n v="1"/>
    <x v="0"/>
    <n v="0.26"/>
    <n v="0.2273"/>
    <x v="0"/>
    <n v="0.56000000000000005"/>
    <x v="1"/>
    <n v="0.32840000000000003"/>
    <x v="1"/>
    <x v="15"/>
    <x v="44"/>
    <x v="148"/>
  </r>
  <r>
    <n v="452"/>
    <d v="2011-01-20T00:00:00"/>
    <x v="0"/>
    <x v="0"/>
    <x v="0"/>
    <x v="20"/>
    <x v="0"/>
    <n v="4"/>
    <x v="5"/>
    <n v="2"/>
    <x v="1"/>
    <n v="0.26"/>
    <n v="0.2424"/>
    <x v="0"/>
    <n v="0.6"/>
    <x v="1"/>
    <n v="0.28360000000000002"/>
    <x v="1"/>
    <x v="4"/>
    <x v="125"/>
    <x v="149"/>
  </r>
  <r>
    <n v="453"/>
    <d v="2011-01-20T00:00:00"/>
    <x v="0"/>
    <x v="0"/>
    <x v="0"/>
    <x v="21"/>
    <x v="0"/>
    <n v="4"/>
    <x v="5"/>
    <n v="2"/>
    <x v="1"/>
    <n v="0.24"/>
    <n v="0.2273"/>
    <x v="0"/>
    <n v="0.6"/>
    <x v="1"/>
    <n v="0.25369999999999998"/>
    <x v="1"/>
    <x v="0"/>
    <x v="25"/>
    <x v="52"/>
  </r>
  <r>
    <n v="454"/>
    <d v="2011-01-20T00:00:00"/>
    <x v="0"/>
    <x v="0"/>
    <x v="0"/>
    <x v="22"/>
    <x v="0"/>
    <n v="4"/>
    <x v="5"/>
    <n v="2"/>
    <x v="1"/>
    <n v="0.24"/>
    <n v="0.21210000000000001"/>
    <x v="0"/>
    <n v="0.65"/>
    <x v="1"/>
    <n v="0.28360000000000002"/>
    <x v="1"/>
    <x v="3"/>
    <x v="90"/>
    <x v="10"/>
  </r>
  <r>
    <n v="455"/>
    <d v="2011-01-20T00:00:00"/>
    <x v="0"/>
    <x v="0"/>
    <x v="0"/>
    <x v="23"/>
    <x v="0"/>
    <n v="4"/>
    <x v="5"/>
    <n v="2"/>
    <x v="1"/>
    <n v="0.24"/>
    <n v="0.21210000000000001"/>
    <x v="0"/>
    <n v="0.65"/>
    <x v="1"/>
    <n v="0.32840000000000003"/>
    <x v="1"/>
    <x v="0"/>
    <x v="95"/>
    <x v="35"/>
  </r>
  <r>
    <n v="456"/>
    <d v="2011-01-21T00:00:00"/>
    <x v="0"/>
    <x v="0"/>
    <x v="0"/>
    <x v="0"/>
    <x v="0"/>
    <n v="5"/>
    <x v="6"/>
    <n v="2"/>
    <x v="1"/>
    <n v="0.24"/>
    <n v="0.2273"/>
    <x v="0"/>
    <n v="0.7"/>
    <x v="0"/>
    <n v="0.25369999999999998"/>
    <x v="1"/>
    <x v="5"/>
    <x v="32"/>
    <x v="137"/>
  </r>
  <r>
    <n v="457"/>
    <d v="2011-01-21T00:00:00"/>
    <x v="0"/>
    <x v="0"/>
    <x v="0"/>
    <x v="1"/>
    <x v="0"/>
    <n v="5"/>
    <x v="6"/>
    <n v="2"/>
    <x v="1"/>
    <n v="0.24"/>
    <n v="0.2273"/>
    <x v="0"/>
    <n v="0.7"/>
    <x v="0"/>
    <n v="0.25369999999999998"/>
    <x v="1"/>
    <x v="3"/>
    <x v="8"/>
    <x v="24"/>
  </r>
  <r>
    <n v="458"/>
    <d v="2011-01-21T00:00:00"/>
    <x v="0"/>
    <x v="0"/>
    <x v="0"/>
    <x v="2"/>
    <x v="0"/>
    <n v="5"/>
    <x v="6"/>
    <n v="3"/>
    <x v="2"/>
    <n v="0.24"/>
    <n v="0.2424"/>
    <x v="0"/>
    <n v="0.75"/>
    <x v="0"/>
    <n v="0.16420000000000001"/>
    <x v="0"/>
    <x v="3"/>
    <x v="6"/>
    <x v="5"/>
  </r>
  <r>
    <n v="459"/>
    <d v="2011-01-21T00:00:00"/>
    <x v="0"/>
    <x v="0"/>
    <x v="0"/>
    <x v="3"/>
    <x v="0"/>
    <n v="5"/>
    <x v="6"/>
    <n v="3"/>
    <x v="2"/>
    <n v="0.22"/>
    <n v="0.21210000000000001"/>
    <x v="0"/>
    <n v="0.8"/>
    <x v="0"/>
    <n v="0.29849999999999999"/>
    <x v="1"/>
    <x v="3"/>
    <x v="4"/>
    <x v="4"/>
  </r>
  <r>
    <n v="460"/>
    <d v="2011-01-21T00:00:00"/>
    <x v="0"/>
    <x v="0"/>
    <x v="0"/>
    <x v="4"/>
    <x v="0"/>
    <n v="5"/>
    <x v="6"/>
    <n v="2"/>
    <x v="1"/>
    <n v="0.22"/>
    <n v="0.2576"/>
    <x v="0"/>
    <n v="0.87"/>
    <x v="0"/>
    <n v="8.9599999999999999E-2"/>
    <x v="0"/>
    <x v="3"/>
    <x v="4"/>
    <x v="4"/>
  </r>
  <r>
    <n v="461"/>
    <d v="2011-01-21T00:00:00"/>
    <x v="0"/>
    <x v="0"/>
    <x v="0"/>
    <x v="5"/>
    <x v="0"/>
    <n v="5"/>
    <x v="6"/>
    <n v="1"/>
    <x v="0"/>
    <n v="0.24"/>
    <n v="0.19700000000000001"/>
    <x v="0"/>
    <n v="0.6"/>
    <x v="1"/>
    <n v="0.41789999999999999"/>
    <x v="1"/>
    <x v="5"/>
    <x v="22"/>
    <x v="36"/>
  </r>
  <r>
    <n v="462"/>
    <d v="2011-01-21T00:00:00"/>
    <x v="0"/>
    <x v="0"/>
    <x v="0"/>
    <x v="6"/>
    <x v="0"/>
    <n v="5"/>
    <x v="6"/>
    <n v="1"/>
    <x v="0"/>
    <n v="0.22"/>
    <n v="0.21210000000000001"/>
    <x v="0"/>
    <n v="0.55000000000000004"/>
    <x v="1"/>
    <n v="0.25369999999999998"/>
    <x v="1"/>
    <x v="3"/>
    <x v="2"/>
    <x v="110"/>
  </r>
  <r>
    <n v="463"/>
    <d v="2011-01-21T00:00:00"/>
    <x v="0"/>
    <x v="0"/>
    <x v="0"/>
    <x v="7"/>
    <x v="0"/>
    <n v="5"/>
    <x v="6"/>
    <n v="1"/>
    <x v="0"/>
    <n v="0.2"/>
    <n v="0.18179999999999999"/>
    <x v="0"/>
    <n v="0.51"/>
    <x v="1"/>
    <n v="0.28360000000000002"/>
    <x v="1"/>
    <x v="4"/>
    <x v="43"/>
    <x v="118"/>
  </r>
  <r>
    <n v="464"/>
    <d v="2011-01-21T00:00:00"/>
    <x v="0"/>
    <x v="0"/>
    <x v="0"/>
    <x v="8"/>
    <x v="0"/>
    <n v="5"/>
    <x v="6"/>
    <n v="1"/>
    <x v="0"/>
    <n v="0.2"/>
    <n v="0.18179999999999999"/>
    <x v="0"/>
    <n v="0.47"/>
    <x v="1"/>
    <n v="0.32840000000000003"/>
    <x v="1"/>
    <x v="18"/>
    <x v="135"/>
    <x v="112"/>
  </r>
  <r>
    <n v="465"/>
    <d v="2011-01-21T00:00:00"/>
    <x v="0"/>
    <x v="0"/>
    <x v="0"/>
    <x v="9"/>
    <x v="0"/>
    <n v="5"/>
    <x v="6"/>
    <n v="1"/>
    <x v="0"/>
    <n v="0.2"/>
    <n v="0.18179999999999999"/>
    <x v="0"/>
    <n v="0.51"/>
    <x v="1"/>
    <n v="0.35820000000000002"/>
    <x v="1"/>
    <x v="18"/>
    <x v="136"/>
    <x v="150"/>
  </r>
  <r>
    <n v="466"/>
    <d v="2011-01-21T00:00:00"/>
    <x v="0"/>
    <x v="0"/>
    <x v="0"/>
    <x v="10"/>
    <x v="0"/>
    <n v="5"/>
    <x v="6"/>
    <n v="1"/>
    <x v="0"/>
    <n v="0.2"/>
    <n v="0.16669999999999999"/>
    <x v="0"/>
    <n v="0.47"/>
    <x v="1"/>
    <n v="0.4627"/>
    <x v="1"/>
    <x v="15"/>
    <x v="77"/>
    <x v="55"/>
  </r>
  <r>
    <n v="467"/>
    <d v="2011-01-21T00:00:00"/>
    <x v="0"/>
    <x v="0"/>
    <x v="0"/>
    <x v="11"/>
    <x v="0"/>
    <n v="5"/>
    <x v="6"/>
    <n v="1"/>
    <x v="0"/>
    <n v="0.22"/>
    <n v="0.18179999999999999"/>
    <x v="0"/>
    <n v="0.41"/>
    <x v="1"/>
    <n v="0.4627"/>
    <x v="1"/>
    <x v="15"/>
    <x v="42"/>
    <x v="29"/>
  </r>
  <r>
    <n v="468"/>
    <d v="2011-01-21T00:00:00"/>
    <x v="0"/>
    <x v="0"/>
    <x v="0"/>
    <x v="12"/>
    <x v="0"/>
    <n v="5"/>
    <x v="6"/>
    <n v="1"/>
    <x v="0"/>
    <n v="0.22"/>
    <n v="0.18179999999999999"/>
    <x v="0"/>
    <n v="0.27"/>
    <x v="2"/>
    <n v="0.58209999999999995"/>
    <x v="2"/>
    <x v="16"/>
    <x v="28"/>
    <x v="53"/>
  </r>
  <r>
    <n v="469"/>
    <d v="2011-01-21T00:00:00"/>
    <x v="0"/>
    <x v="0"/>
    <x v="0"/>
    <x v="13"/>
    <x v="0"/>
    <n v="5"/>
    <x v="6"/>
    <n v="1"/>
    <x v="0"/>
    <n v="0.2"/>
    <n v="0.1515"/>
    <x v="0"/>
    <n v="0.21"/>
    <x v="2"/>
    <n v="0.58209999999999995"/>
    <x v="2"/>
    <x v="1"/>
    <x v="65"/>
    <x v="88"/>
  </r>
  <r>
    <n v="470"/>
    <d v="2011-01-21T00:00:00"/>
    <x v="0"/>
    <x v="0"/>
    <x v="0"/>
    <x v="14"/>
    <x v="0"/>
    <n v="5"/>
    <x v="6"/>
    <n v="1"/>
    <x v="0"/>
    <n v="0.2"/>
    <n v="0.1515"/>
    <x v="0"/>
    <n v="0.25"/>
    <x v="2"/>
    <n v="0.52239999999999998"/>
    <x v="2"/>
    <x v="15"/>
    <x v="90"/>
    <x v="69"/>
  </r>
  <r>
    <n v="471"/>
    <d v="2011-01-21T00:00:00"/>
    <x v="0"/>
    <x v="0"/>
    <x v="0"/>
    <x v="15"/>
    <x v="0"/>
    <n v="5"/>
    <x v="6"/>
    <n v="1"/>
    <x v="0"/>
    <n v="0.16"/>
    <n v="0.1212"/>
    <x v="0"/>
    <n v="0.26"/>
    <x v="2"/>
    <n v="0.44779999999999998"/>
    <x v="1"/>
    <x v="17"/>
    <x v="124"/>
    <x v="32"/>
  </r>
  <r>
    <n v="472"/>
    <d v="2011-01-21T00:00:00"/>
    <x v="0"/>
    <x v="0"/>
    <x v="0"/>
    <x v="16"/>
    <x v="0"/>
    <n v="5"/>
    <x v="6"/>
    <n v="1"/>
    <x v="0"/>
    <n v="0.16"/>
    <n v="0.13639999999999999"/>
    <x v="0"/>
    <n v="0.26"/>
    <x v="2"/>
    <n v="0.35820000000000002"/>
    <x v="1"/>
    <x v="3"/>
    <x v="106"/>
    <x v="54"/>
  </r>
  <r>
    <n v="473"/>
    <d v="2011-01-21T00:00:00"/>
    <x v="0"/>
    <x v="0"/>
    <x v="0"/>
    <x v="17"/>
    <x v="0"/>
    <n v="5"/>
    <x v="6"/>
    <n v="1"/>
    <x v="0"/>
    <n v="0.14000000000000001"/>
    <n v="0.1212"/>
    <x v="0"/>
    <n v="0.28000000000000003"/>
    <x v="2"/>
    <n v="0.35820000000000002"/>
    <x v="1"/>
    <x v="22"/>
    <x v="137"/>
    <x v="143"/>
  </r>
  <r>
    <n v="474"/>
    <d v="2011-01-21T00:00:00"/>
    <x v="0"/>
    <x v="0"/>
    <x v="0"/>
    <x v="18"/>
    <x v="0"/>
    <n v="5"/>
    <x v="6"/>
    <n v="1"/>
    <x v="0"/>
    <n v="0.12"/>
    <n v="0.1212"/>
    <x v="0"/>
    <n v="0.3"/>
    <x v="2"/>
    <n v="0.25369999999999998"/>
    <x v="1"/>
    <x v="5"/>
    <x v="138"/>
    <x v="151"/>
  </r>
  <r>
    <n v="475"/>
    <d v="2011-01-21T00:00:00"/>
    <x v="0"/>
    <x v="0"/>
    <x v="0"/>
    <x v="19"/>
    <x v="0"/>
    <n v="5"/>
    <x v="6"/>
    <n v="1"/>
    <x v="0"/>
    <n v="0.12"/>
    <n v="0.1061"/>
    <x v="0"/>
    <n v="0.3"/>
    <x v="2"/>
    <n v="0.32840000000000003"/>
    <x v="1"/>
    <x v="0"/>
    <x v="139"/>
    <x v="152"/>
  </r>
  <r>
    <n v="476"/>
    <d v="2011-01-21T00:00:00"/>
    <x v="0"/>
    <x v="0"/>
    <x v="0"/>
    <x v="20"/>
    <x v="0"/>
    <n v="5"/>
    <x v="6"/>
    <n v="1"/>
    <x v="0"/>
    <n v="0.1"/>
    <n v="7.5800000000000006E-2"/>
    <x v="0"/>
    <n v="0.33"/>
    <x v="2"/>
    <n v="0.41789999999999999"/>
    <x v="1"/>
    <x v="5"/>
    <x v="15"/>
    <x v="26"/>
  </r>
  <r>
    <n v="477"/>
    <d v="2011-01-21T00:00:00"/>
    <x v="0"/>
    <x v="0"/>
    <x v="0"/>
    <x v="21"/>
    <x v="0"/>
    <n v="5"/>
    <x v="6"/>
    <n v="1"/>
    <x v="0"/>
    <n v="0.08"/>
    <n v="7.5800000000000006E-2"/>
    <x v="0"/>
    <n v="0.38"/>
    <x v="2"/>
    <n v="0.28360000000000002"/>
    <x v="1"/>
    <x v="3"/>
    <x v="40"/>
    <x v="102"/>
  </r>
  <r>
    <n v="478"/>
    <d v="2011-01-21T00:00:00"/>
    <x v="0"/>
    <x v="0"/>
    <x v="0"/>
    <x v="22"/>
    <x v="0"/>
    <n v="5"/>
    <x v="6"/>
    <n v="1"/>
    <x v="0"/>
    <n v="0.06"/>
    <n v="3.0300000000000001E-2"/>
    <x v="0"/>
    <n v="0.41"/>
    <x v="1"/>
    <n v="0.3881"/>
    <x v="1"/>
    <x v="5"/>
    <x v="39"/>
    <x v="19"/>
  </r>
  <r>
    <n v="479"/>
    <d v="2011-01-21T00:00:00"/>
    <x v="0"/>
    <x v="0"/>
    <x v="0"/>
    <x v="23"/>
    <x v="0"/>
    <n v="5"/>
    <x v="6"/>
    <n v="1"/>
    <x v="0"/>
    <n v="0.06"/>
    <n v="4.5499999999999999E-2"/>
    <x v="0"/>
    <n v="0.38"/>
    <x v="2"/>
    <n v="0.32840000000000003"/>
    <x v="1"/>
    <x v="3"/>
    <x v="2"/>
    <x v="110"/>
  </r>
  <r>
    <n v="480"/>
    <d v="2011-01-22T00:00:00"/>
    <x v="0"/>
    <x v="0"/>
    <x v="0"/>
    <x v="0"/>
    <x v="0"/>
    <n v="6"/>
    <x v="0"/>
    <n v="1"/>
    <x v="0"/>
    <n v="0.04"/>
    <n v="3.0300000000000001E-2"/>
    <x v="0"/>
    <n v="0.45"/>
    <x v="1"/>
    <n v="0.25369999999999998"/>
    <x v="1"/>
    <x v="3"/>
    <x v="0"/>
    <x v="3"/>
  </r>
  <r>
    <n v="481"/>
    <d v="2011-01-22T00:00:00"/>
    <x v="0"/>
    <x v="0"/>
    <x v="0"/>
    <x v="1"/>
    <x v="0"/>
    <n v="6"/>
    <x v="0"/>
    <n v="2"/>
    <x v="1"/>
    <n v="0.04"/>
    <n v="0"/>
    <x v="0"/>
    <n v="0.41"/>
    <x v="1"/>
    <n v="0.3881"/>
    <x v="1"/>
    <x v="0"/>
    <x v="33"/>
    <x v="47"/>
  </r>
  <r>
    <n v="482"/>
    <d v="2011-01-22T00:00:00"/>
    <x v="0"/>
    <x v="0"/>
    <x v="0"/>
    <x v="2"/>
    <x v="0"/>
    <n v="6"/>
    <x v="0"/>
    <n v="2"/>
    <x v="1"/>
    <n v="0.04"/>
    <n v="3.0300000000000001E-2"/>
    <x v="0"/>
    <n v="0.41"/>
    <x v="1"/>
    <n v="0.25369999999999998"/>
    <x v="1"/>
    <x v="3"/>
    <x v="48"/>
    <x v="62"/>
  </r>
  <r>
    <n v="483"/>
    <d v="2011-01-22T00:00:00"/>
    <x v="0"/>
    <x v="0"/>
    <x v="0"/>
    <x v="3"/>
    <x v="0"/>
    <n v="6"/>
    <x v="0"/>
    <n v="2"/>
    <x v="1"/>
    <n v="0.04"/>
    <n v="3.0300000000000001E-2"/>
    <x v="0"/>
    <n v="0.41"/>
    <x v="1"/>
    <n v="0.28360000000000002"/>
    <x v="1"/>
    <x v="5"/>
    <x v="8"/>
    <x v="85"/>
  </r>
  <r>
    <n v="484"/>
    <d v="2011-01-22T00:00:00"/>
    <x v="0"/>
    <x v="0"/>
    <x v="0"/>
    <x v="4"/>
    <x v="0"/>
    <n v="6"/>
    <x v="0"/>
    <n v="2"/>
    <x v="1"/>
    <n v="0.02"/>
    <n v="1.52E-2"/>
    <x v="0"/>
    <n v="0.48"/>
    <x v="1"/>
    <n v="0.29849999999999999"/>
    <x v="1"/>
    <x v="3"/>
    <x v="35"/>
    <x v="6"/>
  </r>
  <r>
    <n v="485"/>
    <d v="2011-01-22T00:00:00"/>
    <x v="0"/>
    <x v="0"/>
    <x v="0"/>
    <x v="6"/>
    <x v="0"/>
    <n v="6"/>
    <x v="0"/>
    <n v="2"/>
    <x v="1"/>
    <n v="0.02"/>
    <n v="3.0300000000000001E-2"/>
    <x v="0"/>
    <n v="0.44"/>
    <x v="1"/>
    <n v="0.22389999999999999"/>
    <x v="1"/>
    <x v="3"/>
    <x v="6"/>
    <x v="5"/>
  </r>
  <r>
    <n v="486"/>
    <d v="2011-01-22T00:00:00"/>
    <x v="0"/>
    <x v="0"/>
    <x v="0"/>
    <x v="7"/>
    <x v="0"/>
    <n v="6"/>
    <x v="0"/>
    <n v="1"/>
    <x v="0"/>
    <n v="0.02"/>
    <n v="1.52E-2"/>
    <x v="0"/>
    <n v="0.44"/>
    <x v="1"/>
    <n v="0.28360000000000002"/>
    <x v="1"/>
    <x v="3"/>
    <x v="21"/>
    <x v="7"/>
  </r>
  <r>
    <n v="487"/>
    <d v="2011-01-22T00:00:00"/>
    <x v="0"/>
    <x v="0"/>
    <x v="0"/>
    <x v="8"/>
    <x v="0"/>
    <n v="6"/>
    <x v="0"/>
    <n v="1"/>
    <x v="0"/>
    <n v="0.02"/>
    <n v="0"/>
    <x v="0"/>
    <n v="0.44"/>
    <x v="1"/>
    <n v="0.32840000000000003"/>
    <x v="1"/>
    <x v="5"/>
    <x v="16"/>
    <x v="110"/>
  </r>
  <r>
    <n v="488"/>
    <d v="2011-01-22T00:00:00"/>
    <x v="0"/>
    <x v="0"/>
    <x v="0"/>
    <x v="9"/>
    <x v="0"/>
    <n v="6"/>
    <x v="0"/>
    <n v="1"/>
    <x v="0"/>
    <n v="0.04"/>
    <n v="3.0300000000000001E-2"/>
    <x v="0"/>
    <n v="0.41"/>
    <x v="1"/>
    <n v="0.25369999999999998"/>
    <x v="1"/>
    <x v="0"/>
    <x v="53"/>
    <x v="1"/>
  </r>
  <r>
    <n v="489"/>
    <d v="2011-01-22T00:00:00"/>
    <x v="0"/>
    <x v="0"/>
    <x v="0"/>
    <x v="10"/>
    <x v="0"/>
    <n v="6"/>
    <x v="0"/>
    <n v="2"/>
    <x v="1"/>
    <n v="0.04"/>
    <n v="6.0600000000000001E-2"/>
    <x v="0"/>
    <n v="0.41"/>
    <x v="1"/>
    <n v="0.16420000000000001"/>
    <x v="0"/>
    <x v="0"/>
    <x v="54"/>
    <x v="26"/>
  </r>
  <r>
    <n v="490"/>
    <d v="2011-01-22T00:00:00"/>
    <x v="0"/>
    <x v="0"/>
    <x v="0"/>
    <x v="11"/>
    <x v="0"/>
    <n v="6"/>
    <x v="0"/>
    <n v="2"/>
    <x v="1"/>
    <n v="0.06"/>
    <n v="7.5800000000000006E-2"/>
    <x v="0"/>
    <n v="0.38"/>
    <x v="2"/>
    <n v="0.1343"/>
    <x v="0"/>
    <x v="17"/>
    <x v="79"/>
    <x v="55"/>
  </r>
  <r>
    <n v="491"/>
    <d v="2011-01-22T00:00:00"/>
    <x v="0"/>
    <x v="0"/>
    <x v="0"/>
    <x v="12"/>
    <x v="0"/>
    <n v="6"/>
    <x v="0"/>
    <n v="2"/>
    <x v="1"/>
    <n v="0.06"/>
    <n v="0.1061"/>
    <x v="0"/>
    <n v="0.38"/>
    <x v="2"/>
    <n v="0.1045"/>
    <x v="0"/>
    <x v="22"/>
    <x v="91"/>
    <x v="27"/>
  </r>
  <r>
    <n v="492"/>
    <d v="2011-01-22T00:00:00"/>
    <x v="0"/>
    <x v="0"/>
    <x v="0"/>
    <x v="13"/>
    <x v="0"/>
    <n v="6"/>
    <x v="0"/>
    <n v="1"/>
    <x v="0"/>
    <n v="0.08"/>
    <n v="0.16669999999999999"/>
    <x v="0"/>
    <n v="0.35"/>
    <x v="2"/>
    <n v="0"/>
    <x v="0"/>
    <x v="6"/>
    <x v="109"/>
    <x v="11"/>
  </r>
  <r>
    <n v="493"/>
    <d v="2011-01-22T00:00:00"/>
    <x v="0"/>
    <x v="0"/>
    <x v="0"/>
    <x v="14"/>
    <x v="0"/>
    <n v="6"/>
    <x v="0"/>
    <n v="1"/>
    <x v="0"/>
    <n v="0.1"/>
    <n v="0.13639999999999999"/>
    <x v="0"/>
    <n v="0.33"/>
    <x v="2"/>
    <n v="0.1045"/>
    <x v="0"/>
    <x v="16"/>
    <x v="27"/>
    <x v="28"/>
  </r>
  <r>
    <n v="494"/>
    <d v="2011-01-22T00:00:00"/>
    <x v="0"/>
    <x v="0"/>
    <x v="0"/>
    <x v="15"/>
    <x v="0"/>
    <n v="6"/>
    <x v="0"/>
    <n v="1"/>
    <x v="0"/>
    <n v="0.12"/>
    <n v="0.1515"/>
    <x v="0"/>
    <n v="0.28000000000000003"/>
    <x v="2"/>
    <n v="0"/>
    <x v="0"/>
    <x v="22"/>
    <x v="139"/>
    <x v="153"/>
  </r>
  <r>
    <n v="495"/>
    <d v="2011-01-22T00:00:00"/>
    <x v="0"/>
    <x v="0"/>
    <x v="0"/>
    <x v="16"/>
    <x v="0"/>
    <n v="6"/>
    <x v="0"/>
    <n v="1"/>
    <x v="0"/>
    <n v="0.12"/>
    <n v="0.13639999999999999"/>
    <x v="0"/>
    <n v="0.28000000000000003"/>
    <x v="2"/>
    <n v="0.19400000000000001"/>
    <x v="0"/>
    <x v="16"/>
    <x v="109"/>
    <x v="56"/>
  </r>
  <r>
    <n v="496"/>
    <d v="2011-01-22T00:00:00"/>
    <x v="0"/>
    <x v="0"/>
    <x v="0"/>
    <x v="17"/>
    <x v="0"/>
    <n v="6"/>
    <x v="0"/>
    <n v="1"/>
    <x v="0"/>
    <n v="0.12"/>
    <n v="0.19700000000000001"/>
    <x v="0"/>
    <n v="0.28000000000000003"/>
    <x v="2"/>
    <n v="0"/>
    <x v="0"/>
    <x v="1"/>
    <x v="79"/>
    <x v="16"/>
  </r>
  <r>
    <n v="497"/>
    <d v="2011-01-22T00:00:00"/>
    <x v="0"/>
    <x v="0"/>
    <x v="0"/>
    <x v="18"/>
    <x v="0"/>
    <n v="6"/>
    <x v="0"/>
    <n v="1"/>
    <x v="0"/>
    <n v="0.08"/>
    <n v="9.0899999999999995E-2"/>
    <x v="0"/>
    <n v="0.35"/>
    <x v="2"/>
    <n v="0.19400000000000001"/>
    <x v="0"/>
    <x v="3"/>
    <x v="25"/>
    <x v="60"/>
  </r>
  <r>
    <n v="498"/>
    <d v="2011-01-22T00:00:00"/>
    <x v="0"/>
    <x v="0"/>
    <x v="0"/>
    <x v="19"/>
    <x v="0"/>
    <n v="6"/>
    <x v="0"/>
    <n v="1"/>
    <x v="0"/>
    <n v="0.08"/>
    <n v="0.1061"/>
    <x v="0"/>
    <n v="0.35"/>
    <x v="2"/>
    <n v="0.1343"/>
    <x v="0"/>
    <x v="15"/>
    <x v="42"/>
    <x v="29"/>
  </r>
  <r>
    <n v="499"/>
    <d v="2011-01-22T00:00:00"/>
    <x v="0"/>
    <x v="0"/>
    <x v="0"/>
    <x v="20"/>
    <x v="0"/>
    <n v="6"/>
    <x v="0"/>
    <n v="1"/>
    <x v="0"/>
    <n v="0.06"/>
    <n v="7.5800000000000006E-2"/>
    <x v="0"/>
    <n v="0.45"/>
    <x v="1"/>
    <n v="0.16420000000000001"/>
    <x v="0"/>
    <x v="5"/>
    <x v="100"/>
    <x v="79"/>
  </r>
  <r>
    <n v="500"/>
    <d v="2011-01-22T00:00:00"/>
    <x v="0"/>
    <x v="0"/>
    <x v="0"/>
    <x v="21"/>
    <x v="0"/>
    <n v="6"/>
    <x v="0"/>
    <n v="1"/>
    <x v="0"/>
    <n v="0.06"/>
    <n v="0.1061"/>
    <x v="0"/>
    <n v="0.41"/>
    <x v="1"/>
    <n v="8.9599999999999999E-2"/>
    <x v="0"/>
    <x v="3"/>
    <x v="87"/>
    <x v="21"/>
  </r>
  <r>
    <n v="501"/>
    <d v="2011-01-22T00:00:00"/>
    <x v="0"/>
    <x v="0"/>
    <x v="0"/>
    <x v="22"/>
    <x v="0"/>
    <n v="6"/>
    <x v="0"/>
    <n v="1"/>
    <x v="0"/>
    <n v="0.06"/>
    <n v="0.1515"/>
    <x v="0"/>
    <n v="0.49"/>
    <x v="1"/>
    <n v="0"/>
    <x v="0"/>
    <x v="18"/>
    <x v="140"/>
    <x v="33"/>
  </r>
  <r>
    <n v="502"/>
    <d v="2011-01-22T00:00:00"/>
    <x v="0"/>
    <x v="0"/>
    <x v="0"/>
    <x v="23"/>
    <x v="0"/>
    <n v="6"/>
    <x v="0"/>
    <n v="1"/>
    <x v="0"/>
    <n v="0.04"/>
    <n v="7.5800000000000006E-2"/>
    <x v="0"/>
    <n v="0.56999999999999995"/>
    <x v="1"/>
    <n v="0.1045"/>
    <x v="0"/>
    <x v="4"/>
    <x v="17"/>
    <x v="63"/>
  </r>
  <r>
    <n v="503"/>
    <d v="2011-01-23T00:00:00"/>
    <x v="0"/>
    <x v="0"/>
    <x v="0"/>
    <x v="0"/>
    <x v="0"/>
    <n v="0"/>
    <x v="1"/>
    <n v="1"/>
    <x v="0"/>
    <n v="0.04"/>
    <n v="7.5800000000000006E-2"/>
    <x v="0"/>
    <n v="0.56999999999999995"/>
    <x v="1"/>
    <n v="0.1045"/>
    <x v="0"/>
    <x v="4"/>
    <x v="32"/>
    <x v="34"/>
  </r>
  <r>
    <n v="504"/>
    <d v="2011-01-23T00:00:00"/>
    <x v="0"/>
    <x v="0"/>
    <x v="0"/>
    <x v="1"/>
    <x v="0"/>
    <n v="0"/>
    <x v="1"/>
    <n v="1"/>
    <x v="0"/>
    <n v="0.04"/>
    <n v="7.5800000000000006E-2"/>
    <x v="0"/>
    <n v="0.56999999999999995"/>
    <x v="1"/>
    <n v="0.1045"/>
    <x v="0"/>
    <x v="5"/>
    <x v="98"/>
    <x v="3"/>
  </r>
  <r>
    <n v="505"/>
    <d v="2011-01-23T00:00:00"/>
    <x v="0"/>
    <x v="0"/>
    <x v="0"/>
    <x v="2"/>
    <x v="0"/>
    <n v="0"/>
    <x v="1"/>
    <n v="1"/>
    <x v="0"/>
    <n v="0.02"/>
    <n v="6.0600000000000001E-2"/>
    <x v="0"/>
    <n v="0.62"/>
    <x v="1"/>
    <n v="0.1343"/>
    <x v="0"/>
    <x v="0"/>
    <x v="89"/>
    <x v="109"/>
  </r>
  <r>
    <n v="506"/>
    <d v="2011-01-23T00:00:00"/>
    <x v="0"/>
    <x v="0"/>
    <x v="0"/>
    <x v="3"/>
    <x v="0"/>
    <n v="0"/>
    <x v="1"/>
    <n v="1"/>
    <x v="0"/>
    <n v="0.02"/>
    <n v="6.0600000000000001E-2"/>
    <x v="0"/>
    <n v="0.62"/>
    <x v="1"/>
    <n v="0.1343"/>
    <x v="0"/>
    <x v="5"/>
    <x v="22"/>
    <x v="36"/>
  </r>
  <r>
    <n v="507"/>
    <d v="2011-01-23T00:00:00"/>
    <x v="0"/>
    <x v="0"/>
    <x v="0"/>
    <x v="5"/>
    <x v="0"/>
    <n v="0"/>
    <x v="1"/>
    <n v="2"/>
    <x v="1"/>
    <n v="0.04"/>
    <n v="7.5800000000000006E-2"/>
    <x v="0"/>
    <n v="0.56999999999999995"/>
    <x v="1"/>
    <n v="0.1045"/>
    <x v="0"/>
    <x v="3"/>
    <x v="35"/>
    <x v="6"/>
  </r>
  <r>
    <n v="508"/>
    <d v="2011-01-23T00:00:00"/>
    <x v="0"/>
    <x v="0"/>
    <x v="0"/>
    <x v="6"/>
    <x v="0"/>
    <n v="0"/>
    <x v="1"/>
    <n v="2"/>
    <x v="1"/>
    <n v="0.04"/>
    <n v="7.5800000000000006E-2"/>
    <x v="0"/>
    <n v="0.56999999999999995"/>
    <x v="1"/>
    <n v="0.1045"/>
    <x v="0"/>
    <x v="3"/>
    <x v="4"/>
    <x v="4"/>
  </r>
  <r>
    <n v="509"/>
    <d v="2011-01-23T00:00:00"/>
    <x v="0"/>
    <x v="0"/>
    <x v="0"/>
    <x v="7"/>
    <x v="0"/>
    <n v="0"/>
    <x v="1"/>
    <n v="1"/>
    <x v="0"/>
    <n v="0.08"/>
    <n v="0.1061"/>
    <x v="0"/>
    <n v="0.57999999999999996"/>
    <x v="1"/>
    <n v="0.16420000000000001"/>
    <x v="0"/>
    <x v="5"/>
    <x v="4"/>
    <x v="5"/>
  </r>
  <r>
    <n v="510"/>
    <d v="2011-01-23T00:00:00"/>
    <x v="0"/>
    <x v="0"/>
    <x v="0"/>
    <x v="8"/>
    <x v="0"/>
    <n v="0"/>
    <x v="1"/>
    <n v="1"/>
    <x v="0"/>
    <n v="0.06"/>
    <n v="7.5800000000000006E-2"/>
    <x v="0"/>
    <n v="0.62"/>
    <x v="1"/>
    <n v="0.16420000000000001"/>
    <x v="0"/>
    <x v="4"/>
    <x v="19"/>
    <x v="75"/>
  </r>
  <r>
    <n v="511"/>
    <d v="2011-01-23T00:00:00"/>
    <x v="0"/>
    <x v="0"/>
    <x v="0"/>
    <x v="9"/>
    <x v="0"/>
    <n v="0"/>
    <x v="1"/>
    <n v="1"/>
    <x v="0"/>
    <n v="0.1"/>
    <n v="7.5800000000000006E-2"/>
    <x v="0"/>
    <n v="0.54"/>
    <x v="1"/>
    <n v="0.35820000000000002"/>
    <x v="1"/>
    <x v="0"/>
    <x v="18"/>
    <x v="20"/>
  </r>
  <r>
    <n v="512"/>
    <d v="2011-01-23T00:00:00"/>
    <x v="0"/>
    <x v="0"/>
    <x v="0"/>
    <x v="10"/>
    <x v="0"/>
    <n v="0"/>
    <x v="1"/>
    <n v="1"/>
    <x v="0"/>
    <n v="0.14000000000000001"/>
    <n v="0.1061"/>
    <x v="0"/>
    <n v="0.46"/>
    <x v="1"/>
    <n v="0.3881"/>
    <x v="1"/>
    <x v="18"/>
    <x v="82"/>
    <x v="154"/>
  </r>
  <r>
    <n v="513"/>
    <d v="2011-01-23T00:00:00"/>
    <x v="0"/>
    <x v="0"/>
    <x v="0"/>
    <x v="11"/>
    <x v="0"/>
    <n v="0"/>
    <x v="1"/>
    <n v="1"/>
    <x v="0"/>
    <n v="0.14000000000000001"/>
    <n v="0.13639999999999999"/>
    <x v="0"/>
    <n v="0.43"/>
    <x v="1"/>
    <n v="0.22389999999999999"/>
    <x v="1"/>
    <x v="30"/>
    <x v="99"/>
    <x v="111"/>
  </r>
  <r>
    <n v="514"/>
    <d v="2011-01-23T00:00:00"/>
    <x v="0"/>
    <x v="0"/>
    <x v="0"/>
    <x v="12"/>
    <x v="0"/>
    <n v="0"/>
    <x v="1"/>
    <n v="1"/>
    <x v="0"/>
    <n v="0.16"/>
    <n v="0.1212"/>
    <x v="0"/>
    <n v="0.37"/>
    <x v="2"/>
    <n v="0.4627"/>
    <x v="1"/>
    <x v="31"/>
    <x v="50"/>
    <x v="155"/>
  </r>
  <r>
    <n v="515"/>
    <d v="2011-01-23T00:00:00"/>
    <x v="0"/>
    <x v="0"/>
    <x v="0"/>
    <x v="13"/>
    <x v="0"/>
    <n v="0"/>
    <x v="1"/>
    <n v="1"/>
    <x v="0"/>
    <n v="0.14000000000000001"/>
    <n v="0.1061"/>
    <x v="0"/>
    <n v="0.33"/>
    <x v="2"/>
    <n v="0.3881"/>
    <x v="1"/>
    <x v="6"/>
    <x v="102"/>
    <x v="90"/>
  </r>
  <r>
    <n v="516"/>
    <d v="2011-01-23T00:00:00"/>
    <x v="0"/>
    <x v="0"/>
    <x v="0"/>
    <x v="14"/>
    <x v="0"/>
    <n v="0"/>
    <x v="1"/>
    <n v="1"/>
    <x v="0"/>
    <n v="0.16"/>
    <n v="0.13639999999999999"/>
    <x v="0"/>
    <n v="0.28000000000000003"/>
    <x v="2"/>
    <n v="0.35820000000000002"/>
    <x v="1"/>
    <x v="26"/>
    <x v="139"/>
    <x v="14"/>
  </r>
  <r>
    <n v="517"/>
    <d v="2011-01-23T00:00:00"/>
    <x v="0"/>
    <x v="0"/>
    <x v="0"/>
    <x v="15"/>
    <x v="0"/>
    <n v="0"/>
    <x v="1"/>
    <n v="1"/>
    <x v="0"/>
    <n v="0.16"/>
    <n v="0.13639999999999999"/>
    <x v="0"/>
    <n v="0.28000000000000003"/>
    <x v="2"/>
    <n v="0.35820000000000002"/>
    <x v="1"/>
    <x v="23"/>
    <x v="27"/>
    <x v="43"/>
  </r>
  <r>
    <n v="518"/>
    <d v="2011-01-23T00:00:00"/>
    <x v="0"/>
    <x v="0"/>
    <x v="0"/>
    <x v="16"/>
    <x v="0"/>
    <n v="0"/>
    <x v="1"/>
    <n v="1"/>
    <x v="0"/>
    <n v="0.16"/>
    <n v="0.13639999999999999"/>
    <x v="0"/>
    <n v="0.26"/>
    <x v="2"/>
    <n v="0.32840000000000003"/>
    <x v="1"/>
    <x v="14"/>
    <x v="90"/>
    <x v="32"/>
  </r>
  <r>
    <n v="519"/>
    <d v="2011-01-23T00:00:00"/>
    <x v="0"/>
    <x v="0"/>
    <x v="0"/>
    <x v="17"/>
    <x v="0"/>
    <n v="0"/>
    <x v="1"/>
    <n v="1"/>
    <x v="0"/>
    <n v="0.14000000000000001"/>
    <n v="0.1061"/>
    <x v="0"/>
    <n v="0.26"/>
    <x v="2"/>
    <n v="0.3881"/>
    <x v="1"/>
    <x v="2"/>
    <x v="54"/>
    <x v="97"/>
  </r>
  <r>
    <n v="520"/>
    <d v="2011-01-23T00:00:00"/>
    <x v="0"/>
    <x v="0"/>
    <x v="0"/>
    <x v="18"/>
    <x v="0"/>
    <n v="0"/>
    <x v="1"/>
    <n v="1"/>
    <x v="0"/>
    <n v="0.12"/>
    <n v="0.1212"/>
    <x v="0"/>
    <n v="0.3"/>
    <x v="2"/>
    <n v="0.25369999999999998"/>
    <x v="1"/>
    <x v="2"/>
    <x v="100"/>
    <x v="99"/>
  </r>
  <r>
    <n v="521"/>
    <d v="2011-01-23T00:00:00"/>
    <x v="0"/>
    <x v="0"/>
    <x v="0"/>
    <x v="19"/>
    <x v="0"/>
    <n v="0"/>
    <x v="1"/>
    <n v="1"/>
    <x v="0"/>
    <n v="0.12"/>
    <n v="0.1212"/>
    <x v="0"/>
    <n v="0.3"/>
    <x v="2"/>
    <n v="0.28360000000000002"/>
    <x v="1"/>
    <x v="2"/>
    <x v="108"/>
    <x v="89"/>
  </r>
  <r>
    <n v="522"/>
    <d v="2011-01-23T00:00:00"/>
    <x v="0"/>
    <x v="0"/>
    <x v="0"/>
    <x v="20"/>
    <x v="0"/>
    <n v="0"/>
    <x v="1"/>
    <n v="1"/>
    <x v="0"/>
    <n v="0.1"/>
    <n v="0.1061"/>
    <x v="0"/>
    <n v="0.36"/>
    <x v="2"/>
    <n v="0.25369999999999998"/>
    <x v="1"/>
    <x v="17"/>
    <x v="17"/>
    <x v="17"/>
  </r>
  <r>
    <n v="523"/>
    <d v="2011-01-23T00:00:00"/>
    <x v="0"/>
    <x v="0"/>
    <x v="0"/>
    <x v="21"/>
    <x v="0"/>
    <n v="0"/>
    <x v="1"/>
    <n v="1"/>
    <x v="0"/>
    <n v="0.1"/>
    <n v="0.1061"/>
    <x v="0"/>
    <n v="0.36"/>
    <x v="2"/>
    <n v="0.19400000000000001"/>
    <x v="0"/>
    <x v="2"/>
    <x v="32"/>
    <x v="94"/>
  </r>
  <r>
    <n v="524"/>
    <d v="2011-01-23T00:00:00"/>
    <x v="0"/>
    <x v="0"/>
    <x v="0"/>
    <x v="22"/>
    <x v="0"/>
    <n v="0"/>
    <x v="1"/>
    <n v="1"/>
    <x v="0"/>
    <n v="0.08"/>
    <n v="9.0899999999999995E-2"/>
    <x v="0"/>
    <n v="0.38"/>
    <x v="2"/>
    <n v="0.19400000000000001"/>
    <x v="0"/>
    <x v="2"/>
    <x v="140"/>
    <x v="20"/>
  </r>
  <r>
    <n v="525"/>
    <d v="2011-01-23T00:00:00"/>
    <x v="0"/>
    <x v="0"/>
    <x v="0"/>
    <x v="23"/>
    <x v="0"/>
    <n v="0"/>
    <x v="1"/>
    <n v="1"/>
    <x v="0"/>
    <n v="0.06"/>
    <n v="6.0600000000000001E-2"/>
    <x v="0"/>
    <n v="0.41"/>
    <x v="1"/>
    <n v="0.22389999999999999"/>
    <x v="1"/>
    <x v="17"/>
    <x v="19"/>
    <x v="137"/>
  </r>
  <r>
    <n v="526"/>
    <d v="2011-01-24T00:00:00"/>
    <x v="0"/>
    <x v="0"/>
    <x v="0"/>
    <x v="0"/>
    <x v="0"/>
    <n v="1"/>
    <x v="2"/>
    <n v="1"/>
    <x v="0"/>
    <n v="0.06"/>
    <n v="6.0600000000000001E-2"/>
    <x v="0"/>
    <n v="0.41"/>
    <x v="1"/>
    <n v="0.19400000000000001"/>
    <x v="0"/>
    <x v="3"/>
    <x v="7"/>
    <x v="85"/>
  </r>
  <r>
    <n v="527"/>
    <d v="2011-01-24T00:00:00"/>
    <x v="0"/>
    <x v="0"/>
    <x v="0"/>
    <x v="1"/>
    <x v="0"/>
    <n v="1"/>
    <x v="2"/>
    <n v="1"/>
    <x v="0"/>
    <n v="0.04"/>
    <n v="4.5499999999999999E-2"/>
    <x v="0"/>
    <n v="0.45"/>
    <x v="1"/>
    <n v="0.19400000000000001"/>
    <x v="0"/>
    <x v="3"/>
    <x v="4"/>
    <x v="4"/>
  </r>
  <r>
    <n v="528"/>
    <d v="2011-01-24T00:00:00"/>
    <x v="0"/>
    <x v="0"/>
    <x v="0"/>
    <x v="3"/>
    <x v="0"/>
    <n v="1"/>
    <x v="2"/>
    <n v="1"/>
    <x v="0"/>
    <n v="0.04"/>
    <n v="3.0300000000000001E-2"/>
    <x v="0"/>
    <n v="0.45"/>
    <x v="1"/>
    <n v="0.25369999999999998"/>
    <x v="1"/>
    <x v="3"/>
    <x v="4"/>
    <x v="4"/>
  </r>
  <r>
    <n v="529"/>
    <d v="2011-01-24T00:00:00"/>
    <x v="0"/>
    <x v="0"/>
    <x v="0"/>
    <x v="4"/>
    <x v="0"/>
    <n v="1"/>
    <x v="2"/>
    <n v="1"/>
    <x v="0"/>
    <n v="0.02"/>
    <n v="6.0600000000000001E-2"/>
    <x v="0"/>
    <n v="0.48"/>
    <x v="1"/>
    <n v="0.1343"/>
    <x v="0"/>
    <x v="3"/>
    <x v="4"/>
    <x v="4"/>
  </r>
  <r>
    <n v="530"/>
    <d v="2011-01-24T00:00:00"/>
    <x v="0"/>
    <x v="0"/>
    <x v="0"/>
    <x v="5"/>
    <x v="0"/>
    <n v="1"/>
    <x v="2"/>
    <n v="1"/>
    <x v="0"/>
    <n v="0.02"/>
    <n v="6.0600000000000001E-2"/>
    <x v="0"/>
    <n v="0.48"/>
    <x v="1"/>
    <n v="0.1343"/>
    <x v="0"/>
    <x v="3"/>
    <x v="34"/>
    <x v="36"/>
  </r>
  <r>
    <n v="531"/>
    <d v="2011-01-24T00:00:00"/>
    <x v="0"/>
    <x v="0"/>
    <x v="0"/>
    <x v="6"/>
    <x v="0"/>
    <n v="1"/>
    <x v="2"/>
    <n v="1"/>
    <x v="0"/>
    <n v="0.02"/>
    <n v="7.5800000000000006E-2"/>
    <x v="0"/>
    <n v="0.48"/>
    <x v="1"/>
    <n v="8.9599999999999999E-2"/>
    <x v="0"/>
    <x v="3"/>
    <x v="89"/>
    <x v="93"/>
  </r>
  <r>
    <n v="532"/>
    <d v="2011-01-24T00:00:00"/>
    <x v="0"/>
    <x v="0"/>
    <x v="0"/>
    <x v="7"/>
    <x v="0"/>
    <n v="1"/>
    <x v="2"/>
    <n v="1"/>
    <x v="0"/>
    <n v="0.02"/>
    <n v="0.1212"/>
    <x v="0"/>
    <n v="0.48"/>
    <x v="1"/>
    <n v="0"/>
    <x v="0"/>
    <x v="2"/>
    <x v="55"/>
    <x v="11"/>
  </r>
  <r>
    <n v="533"/>
    <d v="2011-01-24T00:00:00"/>
    <x v="0"/>
    <x v="0"/>
    <x v="0"/>
    <x v="8"/>
    <x v="0"/>
    <n v="1"/>
    <x v="2"/>
    <n v="1"/>
    <x v="0"/>
    <n v="0.04"/>
    <n v="0.13639999999999999"/>
    <x v="0"/>
    <n v="0.49"/>
    <x v="1"/>
    <n v="0"/>
    <x v="0"/>
    <x v="15"/>
    <x v="141"/>
    <x v="156"/>
  </r>
  <r>
    <n v="534"/>
    <d v="2011-01-24T00:00:00"/>
    <x v="0"/>
    <x v="0"/>
    <x v="0"/>
    <x v="9"/>
    <x v="0"/>
    <n v="1"/>
    <x v="2"/>
    <n v="1"/>
    <x v="0"/>
    <n v="0.06"/>
    <n v="0.1515"/>
    <x v="0"/>
    <n v="0.41"/>
    <x v="1"/>
    <n v="0"/>
    <x v="0"/>
    <x v="17"/>
    <x v="52"/>
    <x v="96"/>
  </r>
  <r>
    <n v="535"/>
    <d v="2011-01-24T00:00:00"/>
    <x v="0"/>
    <x v="0"/>
    <x v="0"/>
    <x v="10"/>
    <x v="0"/>
    <n v="1"/>
    <x v="2"/>
    <n v="1"/>
    <x v="0"/>
    <n v="0.1"/>
    <n v="0.13639999999999999"/>
    <x v="0"/>
    <n v="0.42"/>
    <x v="1"/>
    <n v="0"/>
    <x v="0"/>
    <x v="15"/>
    <x v="60"/>
    <x v="1"/>
  </r>
  <r>
    <n v="536"/>
    <d v="2011-01-24T00:00:00"/>
    <x v="0"/>
    <x v="0"/>
    <x v="0"/>
    <x v="11"/>
    <x v="0"/>
    <n v="1"/>
    <x v="2"/>
    <n v="1"/>
    <x v="0"/>
    <n v="0.1"/>
    <n v="0.1212"/>
    <x v="0"/>
    <n v="0.46"/>
    <x v="1"/>
    <n v="0.1343"/>
    <x v="0"/>
    <x v="0"/>
    <x v="30"/>
    <x v="66"/>
  </r>
  <r>
    <n v="537"/>
    <d v="2011-01-24T00:00:00"/>
    <x v="0"/>
    <x v="0"/>
    <x v="0"/>
    <x v="12"/>
    <x v="0"/>
    <n v="1"/>
    <x v="2"/>
    <n v="2"/>
    <x v="1"/>
    <n v="0.12"/>
    <n v="0.13639999999999999"/>
    <x v="0"/>
    <n v="0.42"/>
    <x v="1"/>
    <n v="0.19400000000000001"/>
    <x v="0"/>
    <x v="16"/>
    <x v="15"/>
    <x v="55"/>
  </r>
  <r>
    <n v="538"/>
    <d v="2011-01-24T00:00:00"/>
    <x v="0"/>
    <x v="0"/>
    <x v="0"/>
    <x v="13"/>
    <x v="0"/>
    <n v="1"/>
    <x v="2"/>
    <n v="2"/>
    <x v="1"/>
    <n v="0.14000000000000001"/>
    <n v="0.13639999999999999"/>
    <x v="0"/>
    <n v="0.43"/>
    <x v="1"/>
    <n v="0.22389999999999999"/>
    <x v="1"/>
    <x v="15"/>
    <x v="25"/>
    <x v="122"/>
  </r>
  <r>
    <n v="539"/>
    <d v="2011-01-24T00:00:00"/>
    <x v="0"/>
    <x v="0"/>
    <x v="0"/>
    <x v="14"/>
    <x v="0"/>
    <n v="1"/>
    <x v="2"/>
    <n v="2"/>
    <x v="1"/>
    <n v="0.14000000000000001"/>
    <n v="0.13639999999999999"/>
    <x v="0"/>
    <n v="0.46"/>
    <x v="1"/>
    <n v="0.22389999999999999"/>
    <x v="1"/>
    <x v="4"/>
    <x v="30"/>
    <x v="79"/>
  </r>
  <r>
    <n v="540"/>
    <d v="2011-01-24T00:00:00"/>
    <x v="0"/>
    <x v="0"/>
    <x v="0"/>
    <x v="15"/>
    <x v="0"/>
    <n v="1"/>
    <x v="2"/>
    <n v="1"/>
    <x v="0"/>
    <n v="0.16"/>
    <n v="0.16669999999999999"/>
    <x v="0"/>
    <n v="0.4"/>
    <x v="1"/>
    <n v="0.16420000000000001"/>
    <x v="0"/>
    <x v="18"/>
    <x v="54"/>
    <x v="52"/>
  </r>
  <r>
    <n v="541"/>
    <d v="2011-01-24T00:00:00"/>
    <x v="0"/>
    <x v="0"/>
    <x v="0"/>
    <x v="16"/>
    <x v="0"/>
    <n v="1"/>
    <x v="2"/>
    <n v="1"/>
    <x v="0"/>
    <n v="0.16"/>
    <n v="0.1515"/>
    <x v="0"/>
    <n v="0.47"/>
    <x v="1"/>
    <n v="0.25369999999999998"/>
    <x v="1"/>
    <x v="17"/>
    <x v="43"/>
    <x v="27"/>
  </r>
  <r>
    <n v="542"/>
    <d v="2011-01-24T00:00:00"/>
    <x v="0"/>
    <x v="0"/>
    <x v="0"/>
    <x v="17"/>
    <x v="0"/>
    <n v="1"/>
    <x v="2"/>
    <n v="1"/>
    <x v="0"/>
    <n v="0.14000000000000001"/>
    <n v="0.1212"/>
    <x v="0"/>
    <n v="0.5"/>
    <x v="1"/>
    <n v="0.25369999999999998"/>
    <x v="1"/>
    <x v="15"/>
    <x v="86"/>
    <x v="157"/>
  </r>
  <r>
    <n v="543"/>
    <d v="2011-01-24T00:00:00"/>
    <x v="0"/>
    <x v="0"/>
    <x v="0"/>
    <x v="18"/>
    <x v="0"/>
    <n v="1"/>
    <x v="2"/>
    <n v="1"/>
    <x v="0"/>
    <n v="0.14000000000000001"/>
    <n v="0.13639999999999999"/>
    <x v="0"/>
    <n v="0.59"/>
    <x v="1"/>
    <n v="0.19400000000000001"/>
    <x v="0"/>
    <x v="1"/>
    <x v="142"/>
    <x v="158"/>
  </r>
  <r>
    <n v="544"/>
    <d v="2011-01-24T00:00:00"/>
    <x v="0"/>
    <x v="0"/>
    <x v="0"/>
    <x v="19"/>
    <x v="0"/>
    <n v="1"/>
    <x v="2"/>
    <n v="1"/>
    <x v="0"/>
    <n v="0.14000000000000001"/>
    <n v="0.1515"/>
    <x v="0"/>
    <n v="0.54"/>
    <x v="1"/>
    <n v="0.16420000000000001"/>
    <x v="0"/>
    <x v="2"/>
    <x v="143"/>
    <x v="13"/>
  </r>
  <r>
    <n v="545"/>
    <d v="2011-01-24T00:00:00"/>
    <x v="0"/>
    <x v="0"/>
    <x v="0"/>
    <x v="20"/>
    <x v="0"/>
    <n v="1"/>
    <x v="2"/>
    <n v="1"/>
    <x v="0"/>
    <n v="0.14000000000000001"/>
    <n v="0.13639999999999999"/>
    <x v="0"/>
    <n v="0.59"/>
    <x v="1"/>
    <n v="0.19400000000000001"/>
    <x v="0"/>
    <x v="5"/>
    <x v="122"/>
    <x v="117"/>
  </r>
  <r>
    <n v="546"/>
    <d v="2011-01-24T00:00:00"/>
    <x v="0"/>
    <x v="0"/>
    <x v="0"/>
    <x v="21"/>
    <x v="0"/>
    <n v="1"/>
    <x v="2"/>
    <n v="1"/>
    <x v="0"/>
    <n v="0.14000000000000001"/>
    <n v="0.1515"/>
    <x v="0"/>
    <n v="0.63"/>
    <x v="1"/>
    <n v="0.16420000000000001"/>
    <x v="0"/>
    <x v="15"/>
    <x v="42"/>
    <x v="29"/>
  </r>
  <r>
    <n v="547"/>
    <d v="2011-01-24T00:00:00"/>
    <x v="0"/>
    <x v="0"/>
    <x v="0"/>
    <x v="22"/>
    <x v="0"/>
    <n v="1"/>
    <x v="2"/>
    <n v="2"/>
    <x v="1"/>
    <n v="0.14000000000000001"/>
    <n v="0.13639999999999999"/>
    <x v="0"/>
    <n v="0.63"/>
    <x v="1"/>
    <n v="0.22389999999999999"/>
    <x v="1"/>
    <x v="0"/>
    <x v="1"/>
    <x v="17"/>
  </r>
  <r>
    <n v="548"/>
    <d v="2011-01-24T00:00:00"/>
    <x v="0"/>
    <x v="0"/>
    <x v="0"/>
    <x v="23"/>
    <x v="0"/>
    <n v="1"/>
    <x v="2"/>
    <n v="2"/>
    <x v="1"/>
    <n v="0.16"/>
    <n v="0.1515"/>
    <x v="0"/>
    <n v="0.64"/>
    <x v="1"/>
    <n v="0.25369999999999998"/>
    <x v="1"/>
    <x v="0"/>
    <x v="144"/>
    <x v="108"/>
  </r>
  <r>
    <n v="549"/>
    <d v="2011-01-25T00:00:00"/>
    <x v="0"/>
    <x v="0"/>
    <x v="0"/>
    <x v="0"/>
    <x v="0"/>
    <n v="2"/>
    <x v="3"/>
    <n v="2"/>
    <x v="1"/>
    <n v="0.16"/>
    <n v="0.13639999999999999"/>
    <x v="0"/>
    <n v="0.69"/>
    <x v="1"/>
    <n v="0.28360000000000002"/>
    <x v="1"/>
    <x v="0"/>
    <x v="8"/>
    <x v="23"/>
  </r>
  <r>
    <n v="550"/>
    <d v="2011-01-25T00:00:00"/>
    <x v="0"/>
    <x v="0"/>
    <x v="0"/>
    <x v="1"/>
    <x v="0"/>
    <n v="2"/>
    <x v="3"/>
    <n v="2"/>
    <x v="1"/>
    <n v="0.16"/>
    <n v="0.16669999999999999"/>
    <x v="0"/>
    <n v="0.69"/>
    <x v="1"/>
    <n v="0.16420000000000001"/>
    <x v="0"/>
    <x v="3"/>
    <x v="34"/>
    <x v="36"/>
  </r>
  <r>
    <n v="551"/>
    <d v="2011-01-25T00:00:00"/>
    <x v="0"/>
    <x v="0"/>
    <x v="0"/>
    <x v="2"/>
    <x v="0"/>
    <n v="2"/>
    <x v="3"/>
    <n v="1"/>
    <x v="0"/>
    <n v="0.16"/>
    <n v="0.1515"/>
    <x v="0"/>
    <n v="0.69"/>
    <x v="1"/>
    <n v="0.22389999999999999"/>
    <x v="1"/>
    <x v="3"/>
    <x v="6"/>
    <x v="5"/>
  </r>
  <r>
    <n v="552"/>
    <d v="2011-01-25T00:00:00"/>
    <x v="0"/>
    <x v="0"/>
    <x v="0"/>
    <x v="4"/>
    <x v="0"/>
    <n v="2"/>
    <x v="3"/>
    <n v="1"/>
    <x v="0"/>
    <n v="0.14000000000000001"/>
    <n v="0.16669999999999999"/>
    <x v="0"/>
    <n v="0.74"/>
    <x v="0"/>
    <n v="0.1045"/>
    <x v="0"/>
    <x v="3"/>
    <x v="4"/>
    <x v="4"/>
  </r>
  <r>
    <n v="553"/>
    <d v="2011-01-25T00:00:00"/>
    <x v="0"/>
    <x v="0"/>
    <x v="0"/>
    <x v="5"/>
    <x v="0"/>
    <n v="2"/>
    <x v="3"/>
    <n v="1"/>
    <x v="0"/>
    <n v="0.14000000000000001"/>
    <n v="0.13639999999999999"/>
    <x v="0"/>
    <n v="0.74"/>
    <x v="0"/>
    <n v="0.22389999999999999"/>
    <x v="1"/>
    <x v="3"/>
    <x v="33"/>
    <x v="23"/>
  </r>
  <r>
    <n v="554"/>
    <d v="2011-01-25T00:00:00"/>
    <x v="0"/>
    <x v="0"/>
    <x v="0"/>
    <x v="6"/>
    <x v="0"/>
    <n v="2"/>
    <x v="3"/>
    <n v="1"/>
    <x v="0"/>
    <n v="0.16"/>
    <n v="0.18179999999999999"/>
    <x v="0"/>
    <n v="0.74"/>
    <x v="0"/>
    <n v="0.1045"/>
    <x v="0"/>
    <x v="5"/>
    <x v="96"/>
    <x v="9"/>
  </r>
  <r>
    <n v="555"/>
    <d v="2011-01-25T00:00:00"/>
    <x v="0"/>
    <x v="0"/>
    <x v="0"/>
    <x v="7"/>
    <x v="0"/>
    <n v="2"/>
    <x v="3"/>
    <n v="1"/>
    <x v="0"/>
    <n v="0.16"/>
    <n v="0.1515"/>
    <x v="0"/>
    <n v="0.74"/>
    <x v="0"/>
    <n v="0.22389999999999999"/>
    <x v="1"/>
    <x v="2"/>
    <x v="145"/>
    <x v="159"/>
  </r>
  <r>
    <n v="556"/>
    <d v="2011-01-25T00:00:00"/>
    <x v="0"/>
    <x v="0"/>
    <x v="0"/>
    <x v="8"/>
    <x v="0"/>
    <n v="2"/>
    <x v="3"/>
    <n v="2"/>
    <x v="1"/>
    <n v="0.16"/>
    <n v="0.18179999999999999"/>
    <x v="0"/>
    <n v="0.74"/>
    <x v="0"/>
    <n v="0.1343"/>
    <x v="0"/>
    <x v="2"/>
    <x v="146"/>
    <x v="160"/>
  </r>
  <r>
    <n v="557"/>
    <d v="2011-01-25T00:00:00"/>
    <x v="0"/>
    <x v="0"/>
    <x v="0"/>
    <x v="9"/>
    <x v="0"/>
    <n v="2"/>
    <x v="3"/>
    <n v="2"/>
    <x v="1"/>
    <n v="0.2"/>
    <n v="0.2273"/>
    <x v="0"/>
    <n v="0.64"/>
    <x v="1"/>
    <n v="8.9599999999999999E-2"/>
    <x v="0"/>
    <x v="22"/>
    <x v="120"/>
    <x v="124"/>
  </r>
  <r>
    <n v="558"/>
    <d v="2011-01-25T00:00:00"/>
    <x v="0"/>
    <x v="0"/>
    <x v="0"/>
    <x v="10"/>
    <x v="0"/>
    <n v="2"/>
    <x v="3"/>
    <n v="2"/>
    <x v="1"/>
    <n v="0.22"/>
    <n v="0.2424"/>
    <x v="0"/>
    <n v="0.6"/>
    <x v="1"/>
    <n v="0.1045"/>
    <x v="0"/>
    <x v="15"/>
    <x v="47"/>
    <x v="97"/>
  </r>
  <r>
    <n v="559"/>
    <d v="2011-01-25T00:00:00"/>
    <x v="0"/>
    <x v="0"/>
    <x v="0"/>
    <x v="11"/>
    <x v="0"/>
    <n v="2"/>
    <x v="3"/>
    <n v="2"/>
    <x v="1"/>
    <n v="0.24"/>
    <n v="0.2424"/>
    <x v="0"/>
    <n v="0.6"/>
    <x v="1"/>
    <n v="0.1343"/>
    <x v="0"/>
    <x v="15"/>
    <x v="11"/>
    <x v="42"/>
  </r>
  <r>
    <n v="560"/>
    <d v="2011-01-25T00:00:00"/>
    <x v="0"/>
    <x v="0"/>
    <x v="0"/>
    <x v="12"/>
    <x v="0"/>
    <n v="2"/>
    <x v="3"/>
    <n v="2"/>
    <x v="1"/>
    <n v="0.26"/>
    <n v="0.28789999999999999"/>
    <x v="0"/>
    <n v="0.56000000000000005"/>
    <x v="1"/>
    <n v="8.9599999999999999E-2"/>
    <x v="0"/>
    <x v="27"/>
    <x v="66"/>
    <x v="13"/>
  </r>
  <r>
    <n v="561"/>
    <d v="2011-01-25T00:00:00"/>
    <x v="0"/>
    <x v="0"/>
    <x v="0"/>
    <x v="13"/>
    <x v="0"/>
    <n v="2"/>
    <x v="3"/>
    <n v="2"/>
    <x v="1"/>
    <n v="0.26"/>
    <n v="0.2727"/>
    <x v="0"/>
    <n v="0.56000000000000005"/>
    <x v="1"/>
    <n v="0.1343"/>
    <x v="0"/>
    <x v="27"/>
    <x v="109"/>
    <x v="15"/>
  </r>
  <r>
    <n v="562"/>
    <d v="2011-01-25T00:00:00"/>
    <x v="0"/>
    <x v="0"/>
    <x v="0"/>
    <x v="14"/>
    <x v="0"/>
    <n v="2"/>
    <x v="3"/>
    <n v="2"/>
    <x v="1"/>
    <n v="0.3"/>
    <n v="0.33329999999999999"/>
    <x v="1"/>
    <n v="0.45"/>
    <x v="1"/>
    <n v="0"/>
    <x v="0"/>
    <x v="16"/>
    <x v="77"/>
    <x v="118"/>
  </r>
  <r>
    <n v="563"/>
    <d v="2011-01-25T00:00:00"/>
    <x v="0"/>
    <x v="0"/>
    <x v="0"/>
    <x v="15"/>
    <x v="0"/>
    <n v="2"/>
    <x v="3"/>
    <n v="2"/>
    <x v="1"/>
    <n v="0.32"/>
    <n v="0.34849999999999998"/>
    <x v="1"/>
    <n v="0.42"/>
    <x v="1"/>
    <n v="0"/>
    <x v="0"/>
    <x v="27"/>
    <x v="36"/>
    <x v="11"/>
  </r>
  <r>
    <n v="564"/>
    <d v="2011-01-25T00:00:00"/>
    <x v="0"/>
    <x v="0"/>
    <x v="0"/>
    <x v="16"/>
    <x v="0"/>
    <n v="2"/>
    <x v="3"/>
    <n v="2"/>
    <x v="1"/>
    <n v="0.32"/>
    <n v="0.34849999999999998"/>
    <x v="1"/>
    <n v="0.42"/>
    <x v="1"/>
    <n v="0"/>
    <x v="0"/>
    <x v="24"/>
    <x v="46"/>
    <x v="155"/>
  </r>
  <r>
    <n v="565"/>
    <d v="2011-01-25T00:00:00"/>
    <x v="0"/>
    <x v="0"/>
    <x v="0"/>
    <x v="17"/>
    <x v="0"/>
    <n v="2"/>
    <x v="3"/>
    <n v="1"/>
    <x v="0"/>
    <n v="0.3"/>
    <n v="0.33329999999999999"/>
    <x v="1"/>
    <n v="0.45"/>
    <x v="1"/>
    <n v="0"/>
    <x v="0"/>
    <x v="24"/>
    <x v="147"/>
    <x v="161"/>
  </r>
  <r>
    <n v="566"/>
    <d v="2011-01-25T00:00:00"/>
    <x v="0"/>
    <x v="0"/>
    <x v="0"/>
    <x v="18"/>
    <x v="0"/>
    <n v="2"/>
    <x v="3"/>
    <n v="2"/>
    <x v="1"/>
    <n v="0.3"/>
    <n v="0.31819999999999998"/>
    <x v="1"/>
    <n v="0.49"/>
    <x v="1"/>
    <n v="8.9599999999999999E-2"/>
    <x v="0"/>
    <x v="18"/>
    <x v="148"/>
    <x v="162"/>
  </r>
  <r>
    <n v="567"/>
    <d v="2011-01-25T00:00:00"/>
    <x v="0"/>
    <x v="0"/>
    <x v="0"/>
    <x v="19"/>
    <x v="0"/>
    <n v="2"/>
    <x v="3"/>
    <n v="2"/>
    <x v="1"/>
    <n v="0.26"/>
    <n v="0.2576"/>
    <x v="0"/>
    <n v="0.65"/>
    <x v="1"/>
    <n v="0.16420000000000001"/>
    <x v="0"/>
    <x v="23"/>
    <x v="149"/>
    <x v="163"/>
  </r>
  <r>
    <n v="568"/>
    <d v="2011-01-25T00:00:00"/>
    <x v="0"/>
    <x v="0"/>
    <x v="0"/>
    <x v="20"/>
    <x v="0"/>
    <n v="2"/>
    <x v="3"/>
    <n v="1"/>
    <x v="0"/>
    <n v="0.24"/>
    <n v="0.2273"/>
    <x v="0"/>
    <n v="0.65"/>
    <x v="1"/>
    <n v="0.19400000000000001"/>
    <x v="0"/>
    <x v="19"/>
    <x v="145"/>
    <x v="164"/>
  </r>
  <r>
    <n v="569"/>
    <d v="2011-01-25T00:00:00"/>
    <x v="0"/>
    <x v="0"/>
    <x v="0"/>
    <x v="21"/>
    <x v="0"/>
    <n v="2"/>
    <x v="3"/>
    <n v="1"/>
    <x v="0"/>
    <n v="0.24"/>
    <n v="0.2273"/>
    <x v="0"/>
    <n v="0.65"/>
    <x v="1"/>
    <n v="0.19400000000000001"/>
    <x v="0"/>
    <x v="2"/>
    <x v="71"/>
    <x v="79"/>
  </r>
  <r>
    <n v="570"/>
    <d v="2011-01-25T00:00:00"/>
    <x v="0"/>
    <x v="0"/>
    <x v="0"/>
    <x v="22"/>
    <x v="0"/>
    <n v="2"/>
    <x v="3"/>
    <n v="1"/>
    <x v="0"/>
    <n v="0.22"/>
    <n v="0.2273"/>
    <x v="0"/>
    <n v="0.64"/>
    <x v="1"/>
    <n v="0.16420000000000001"/>
    <x v="0"/>
    <x v="17"/>
    <x v="47"/>
    <x v="26"/>
  </r>
  <r>
    <n v="571"/>
    <d v="2011-01-25T00:00:00"/>
    <x v="0"/>
    <x v="0"/>
    <x v="0"/>
    <x v="23"/>
    <x v="0"/>
    <n v="2"/>
    <x v="3"/>
    <n v="2"/>
    <x v="1"/>
    <n v="0.22"/>
    <n v="0.2273"/>
    <x v="0"/>
    <n v="0.64"/>
    <x v="1"/>
    <n v="0.16420000000000001"/>
    <x v="0"/>
    <x v="0"/>
    <x v="53"/>
    <x v="1"/>
  </r>
  <r>
    <n v="572"/>
    <d v="2011-01-26T00:00:00"/>
    <x v="0"/>
    <x v="0"/>
    <x v="0"/>
    <x v="0"/>
    <x v="0"/>
    <n v="3"/>
    <x v="4"/>
    <n v="2"/>
    <x v="1"/>
    <n v="0.22"/>
    <n v="0.2273"/>
    <x v="0"/>
    <n v="0.69"/>
    <x v="1"/>
    <n v="0.1343"/>
    <x v="0"/>
    <x v="0"/>
    <x v="88"/>
    <x v="22"/>
  </r>
  <r>
    <n v="573"/>
    <d v="2011-01-26T00:00:00"/>
    <x v="0"/>
    <x v="0"/>
    <x v="0"/>
    <x v="1"/>
    <x v="0"/>
    <n v="3"/>
    <x v="4"/>
    <n v="2"/>
    <x v="1"/>
    <n v="0.24"/>
    <n v="0.2424"/>
    <x v="0"/>
    <n v="0.65"/>
    <x v="1"/>
    <n v="0.1343"/>
    <x v="0"/>
    <x v="3"/>
    <x v="34"/>
    <x v="36"/>
  </r>
  <r>
    <n v="574"/>
    <d v="2011-01-26T00:00:00"/>
    <x v="0"/>
    <x v="0"/>
    <x v="0"/>
    <x v="2"/>
    <x v="0"/>
    <n v="3"/>
    <x v="4"/>
    <n v="3"/>
    <x v="2"/>
    <n v="0.22"/>
    <n v="0.2273"/>
    <x v="0"/>
    <n v="0.69"/>
    <x v="1"/>
    <n v="0.19400000000000001"/>
    <x v="0"/>
    <x v="0"/>
    <x v="7"/>
    <x v="98"/>
  </r>
  <r>
    <n v="575"/>
    <d v="2011-01-26T00:00:00"/>
    <x v="0"/>
    <x v="0"/>
    <x v="0"/>
    <x v="5"/>
    <x v="0"/>
    <n v="3"/>
    <x v="4"/>
    <n v="3"/>
    <x v="2"/>
    <n v="0.2"/>
    <n v="0.18179999999999999"/>
    <x v="0"/>
    <n v="0.86"/>
    <x v="0"/>
    <n v="0.28360000000000002"/>
    <x v="1"/>
    <x v="3"/>
    <x v="4"/>
    <x v="4"/>
  </r>
  <r>
    <n v="576"/>
    <d v="2011-01-26T00:00:00"/>
    <x v="0"/>
    <x v="0"/>
    <x v="0"/>
    <x v="6"/>
    <x v="0"/>
    <n v="3"/>
    <x v="4"/>
    <n v="3"/>
    <x v="2"/>
    <n v="0.2"/>
    <n v="0.18179999999999999"/>
    <x v="0"/>
    <n v="0.86"/>
    <x v="0"/>
    <n v="0.28360000000000002"/>
    <x v="1"/>
    <x v="3"/>
    <x v="21"/>
    <x v="7"/>
  </r>
  <r>
    <n v="577"/>
    <d v="2011-01-26T00:00:00"/>
    <x v="0"/>
    <x v="0"/>
    <x v="0"/>
    <x v="7"/>
    <x v="0"/>
    <n v="3"/>
    <x v="4"/>
    <n v="3"/>
    <x v="2"/>
    <n v="0.22"/>
    <n v="0.21210000000000001"/>
    <x v="0"/>
    <n v="0.87"/>
    <x v="0"/>
    <n v="0.29849999999999999"/>
    <x v="1"/>
    <x v="5"/>
    <x v="31"/>
    <x v="33"/>
  </r>
  <r>
    <n v="578"/>
    <d v="2011-01-26T00:00:00"/>
    <x v="0"/>
    <x v="0"/>
    <x v="0"/>
    <x v="8"/>
    <x v="0"/>
    <n v="3"/>
    <x v="4"/>
    <n v="3"/>
    <x v="2"/>
    <n v="0.22"/>
    <n v="0.21210000000000001"/>
    <x v="0"/>
    <n v="0.87"/>
    <x v="0"/>
    <n v="0.29849999999999999"/>
    <x v="1"/>
    <x v="0"/>
    <x v="94"/>
    <x v="44"/>
  </r>
  <r>
    <n v="579"/>
    <d v="2011-01-26T00:00:00"/>
    <x v="0"/>
    <x v="0"/>
    <x v="0"/>
    <x v="9"/>
    <x v="0"/>
    <n v="3"/>
    <x v="4"/>
    <n v="3"/>
    <x v="2"/>
    <n v="0.22"/>
    <n v="0.21210000000000001"/>
    <x v="0"/>
    <n v="0.87"/>
    <x v="0"/>
    <n v="0.29849999999999999"/>
    <x v="1"/>
    <x v="0"/>
    <x v="11"/>
    <x v="154"/>
  </r>
  <r>
    <n v="580"/>
    <d v="2011-01-26T00:00:00"/>
    <x v="0"/>
    <x v="0"/>
    <x v="0"/>
    <x v="10"/>
    <x v="0"/>
    <n v="3"/>
    <x v="4"/>
    <n v="3"/>
    <x v="2"/>
    <n v="0.22"/>
    <n v="0.21210000000000001"/>
    <x v="0"/>
    <n v="0.93"/>
    <x v="0"/>
    <n v="0.28360000000000002"/>
    <x v="1"/>
    <x v="4"/>
    <x v="16"/>
    <x v="20"/>
  </r>
  <r>
    <n v="581"/>
    <d v="2011-01-26T00:00:00"/>
    <x v="0"/>
    <x v="0"/>
    <x v="0"/>
    <x v="11"/>
    <x v="0"/>
    <n v="3"/>
    <x v="4"/>
    <n v="3"/>
    <x v="2"/>
    <n v="0.22"/>
    <n v="0.19700000000000001"/>
    <x v="0"/>
    <n v="0.93"/>
    <x v="0"/>
    <n v="0.32840000000000003"/>
    <x v="1"/>
    <x v="15"/>
    <x v="96"/>
    <x v="102"/>
  </r>
  <r>
    <n v="582"/>
    <d v="2011-01-26T00:00:00"/>
    <x v="0"/>
    <x v="0"/>
    <x v="0"/>
    <x v="12"/>
    <x v="0"/>
    <n v="3"/>
    <x v="4"/>
    <n v="3"/>
    <x v="2"/>
    <n v="0.22"/>
    <n v="0.19700000000000001"/>
    <x v="0"/>
    <n v="0.93"/>
    <x v="0"/>
    <n v="0.32840000000000003"/>
    <x v="1"/>
    <x v="18"/>
    <x v="40"/>
    <x v="61"/>
  </r>
  <r>
    <n v="583"/>
    <d v="2011-01-26T00:00:00"/>
    <x v="0"/>
    <x v="0"/>
    <x v="0"/>
    <x v="13"/>
    <x v="0"/>
    <n v="3"/>
    <x v="4"/>
    <n v="3"/>
    <x v="2"/>
    <n v="0.22"/>
    <n v="0.19700000000000001"/>
    <x v="0"/>
    <n v="0.93"/>
    <x v="0"/>
    <n v="0.32840000000000003"/>
    <x v="1"/>
    <x v="17"/>
    <x v="30"/>
    <x v="105"/>
  </r>
  <r>
    <n v="584"/>
    <d v="2011-01-26T00:00:00"/>
    <x v="0"/>
    <x v="0"/>
    <x v="0"/>
    <x v="14"/>
    <x v="0"/>
    <n v="3"/>
    <x v="4"/>
    <n v="3"/>
    <x v="2"/>
    <n v="0.22"/>
    <n v="0.19700000000000001"/>
    <x v="0"/>
    <n v="0.93"/>
    <x v="0"/>
    <n v="0.35820000000000002"/>
    <x v="1"/>
    <x v="3"/>
    <x v="49"/>
    <x v="9"/>
  </r>
  <r>
    <n v="585"/>
    <d v="2011-01-26T00:00:00"/>
    <x v="0"/>
    <x v="0"/>
    <x v="0"/>
    <x v="15"/>
    <x v="0"/>
    <n v="3"/>
    <x v="4"/>
    <n v="3"/>
    <x v="2"/>
    <n v="0.22"/>
    <n v="0.18179999999999999"/>
    <x v="0"/>
    <n v="0.93"/>
    <x v="0"/>
    <n v="0.4627"/>
    <x v="1"/>
    <x v="5"/>
    <x v="76"/>
    <x v="74"/>
  </r>
  <r>
    <n v="586"/>
    <d v="2011-01-26T00:00:00"/>
    <x v="0"/>
    <x v="0"/>
    <x v="0"/>
    <x v="16"/>
    <x v="0"/>
    <n v="3"/>
    <x v="4"/>
    <n v="4"/>
    <x v="3"/>
    <n v="0.22"/>
    <n v="0.19700000000000001"/>
    <x v="0"/>
    <n v="0.93"/>
    <x v="0"/>
    <n v="0.32840000000000003"/>
    <x v="1"/>
    <x v="5"/>
    <x v="96"/>
    <x v="9"/>
  </r>
  <r>
    <n v="587"/>
    <d v="2011-01-26T00:00:00"/>
    <x v="0"/>
    <x v="0"/>
    <x v="0"/>
    <x v="17"/>
    <x v="0"/>
    <n v="3"/>
    <x v="4"/>
    <n v="3"/>
    <x v="2"/>
    <n v="0.2"/>
    <n v="0.18179999999999999"/>
    <x v="0"/>
    <n v="0.93"/>
    <x v="0"/>
    <n v="0.35820000000000002"/>
    <x v="1"/>
    <x v="3"/>
    <x v="16"/>
    <x v="132"/>
  </r>
  <r>
    <n v="588"/>
    <d v="2011-01-27T00:00:00"/>
    <x v="0"/>
    <x v="0"/>
    <x v="0"/>
    <x v="16"/>
    <x v="0"/>
    <n v="4"/>
    <x v="5"/>
    <n v="1"/>
    <x v="0"/>
    <n v="0.22"/>
    <n v="0.2273"/>
    <x v="0"/>
    <n v="0.55000000000000004"/>
    <x v="1"/>
    <n v="0.19400000000000001"/>
    <x v="0"/>
    <x v="5"/>
    <x v="140"/>
    <x v="108"/>
  </r>
  <r>
    <n v="589"/>
    <d v="2011-01-27T00:00:00"/>
    <x v="0"/>
    <x v="0"/>
    <x v="0"/>
    <x v="17"/>
    <x v="0"/>
    <n v="4"/>
    <x v="5"/>
    <n v="1"/>
    <x v="0"/>
    <n v="0.22"/>
    <n v="0.2424"/>
    <x v="0"/>
    <n v="0.55000000000000004"/>
    <x v="1"/>
    <n v="0.1045"/>
    <x v="0"/>
    <x v="4"/>
    <x v="70"/>
    <x v="11"/>
  </r>
  <r>
    <n v="590"/>
    <d v="2011-01-27T00:00:00"/>
    <x v="0"/>
    <x v="0"/>
    <x v="0"/>
    <x v="18"/>
    <x v="0"/>
    <n v="4"/>
    <x v="5"/>
    <n v="1"/>
    <x v="0"/>
    <n v="0.2"/>
    <n v="0.2273"/>
    <x v="0"/>
    <n v="0.69"/>
    <x v="1"/>
    <n v="8.9599999999999999E-2"/>
    <x v="0"/>
    <x v="0"/>
    <x v="143"/>
    <x v="133"/>
  </r>
  <r>
    <n v="591"/>
    <d v="2011-01-27T00:00:00"/>
    <x v="0"/>
    <x v="0"/>
    <x v="0"/>
    <x v="19"/>
    <x v="0"/>
    <n v="4"/>
    <x v="5"/>
    <n v="1"/>
    <x v="0"/>
    <n v="0.2"/>
    <n v="0.2273"/>
    <x v="0"/>
    <n v="0.69"/>
    <x v="1"/>
    <n v="8.9599999999999999E-2"/>
    <x v="0"/>
    <x v="0"/>
    <x v="83"/>
    <x v="67"/>
  </r>
  <r>
    <n v="592"/>
    <d v="2011-01-27T00:00:00"/>
    <x v="0"/>
    <x v="0"/>
    <x v="0"/>
    <x v="20"/>
    <x v="0"/>
    <n v="4"/>
    <x v="5"/>
    <n v="1"/>
    <x v="0"/>
    <n v="0.18"/>
    <n v="0.21210000000000001"/>
    <x v="0"/>
    <n v="0.74"/>
    <x v="0"/>
    <n v="8.9599999999999999E-2"/>
    <x v="0"/>
    <x v="17"/>
    <x v="11"/>
    <x v="29"/>
  </r>
  <r>
    <n v="593"/>
    <d v="2011-01-27T00:00:00"/>
    <x v="0"/>
    <x v="0"/>
    <x v="0"/>
    <x v="21"/>
    <x v="0"/>
    <n v="4"/>
    <x v="5"/>
    <n v="1"/>
    <x v="0"/>
    <n v="0.18"/>
    <n v="0.21210000000000001"/>
    <x v="0"/>
    <n v="0.74"/>
    <x v="0"/>
    <n v="8.9599999999999999E-2"/>
    <x v="0"/>
    <x v="4"/>
    <x v="49"/>
    <x v="103"/>
  </r>
  <r>
    <n v="594"/>
    <d v="2011-01-27T00:00:00"/>
    <x v="0"/>
    <x v="0"/>
    <x v="0"/>
    <x v="22"/>
    <x v="0"/>
    <n v="4"/>
    <x v="5"/>
    <n v="1"/>
    <x v="0"/>
    <n v="0.18"/>
    <n v="0.21210000000000001"/>
    <x v="0"/>
    <n v="0.74"/>
    <x v="0"/>
    <n v="8.9599999999999999E-2"/>
    <x v="0"/>
    <x v="3"/>
    <x v="2"/>
    <x v="110"/>
  </r>
  <r>
    <n v="595"/>
    <d v="2011-01-27T00:00:00"/>
    <x v="0"/>
    <x v="0"/>
    <x v="0"/>
    <x v="23"/>
    <x v="0"/>
    <n v="4"/>
    <x v="5"/>
    <n v="1"/>
    <x v="0"/>
    <n v="0.18"/>
    <n v="0.19700000000000001"/>
    <x v="0"/>
    <n v="0.8"/>
    <x v="0"/>
    <n v="0.16420000000000001"/>
    <x v="0"/>
    <x v="3"/>
    <x v="20"/>
    <x v="0"/>
  </r>
  <r>
    <n v="596"/>
    <d v="2011-01-28T00:00:00"/>
    <x v="0"/>
    <x v="0"/>
    <x v="0"/>
    <x v="0"/>
    <x v="0"/>
    <n v="5"/>
    <x v="6"/>
    <n v="2"/>
    <x v="1"/>
    <n v="0.2"/>
    <n v="0.21210000000000001"/>
    <x v="0"/>
    <n v="0.75"/>
    <x v="0"/>
    <n v="0.1343"/>
    <x v="0"/>
    <x v="3"/>
    <x v="33"/>
    <x v="23"/>
  </r>
  <r>
    <n v="597"/>
    <d v="2011-01-28T00:00:00"/>
    <x v="0"/>
    <x v="0"/>
    <x v="0"/>
    <x v="1"/>
    <x v="0"/>
    <n v="5"/>
    <x v="6"/>
    <n v="2"/>
    <x v="1"/>
    <n v="0.2"/>
    <n v="0.21210000000000001"/>
    <x v="0"/>
    <n v="0.75"/>
    <x v="0"/>
    <n v="0.1343"/>
    <x v="0"/>
    <x v="5"/>
    <x v="6"/>
    <x v="6"/>
  </r>
  <r>
    <n v="598"/>
    <d v="2011-01-28T00:00:00"/>
    <x v="0"/>
    <x v="0"/>
    <x v="0"/>
    <x v="2"/>
    <x v="0"/>
    <n v="5"/>
    <x v="6"/>
    <n v="2"/>
    <x v="1"/>
    <n v="0.2"/>
    <n v="0.21210000000000001"/>
    <x v="0"/>
    <n v="0.75"/>
    <x v="0"/>
    <n v="0.16420000000000001"/>
    <x v="0"/>
    <x v="3"/>
    <x v="6"/>
    <x v="5"/>
  </r>
  <r>
    <n v="599"/>
    <d v="2011-01-28T00:00:00"/>
    <x v="0"/>
    <x v="0"/>
    <x v="0"/>
    <x v="3"/>
    <x v="0"/>
    <n v="5"/>
    <x v="6"/>
    <n v="2"/>
    <x v="1"/>
    <n v="0.2"/>
    <n v="0.2273"/>
    <x v="0"/>
    <n v="0.75"/>
    <x v="0"/>
    <n v="0.1045"/>
    <x v="0"/>
    <x v="5"/>
    <x v="5"/>
    <x v="4"/>
  </r>
  <r>
    <n v="600"/>
    <d v="2011-01-28T00:00:00"/>
    <x v="0"/>
    <x v="0"/>
    <x v="0"/>
    <x v="5"/>
    <x v="0"/>
    <n v="5"/>
    <x v="6"/>
    <n v="2"/>
    <x v="1"/>
    <n v="0.18"/>
    <n v="0.21210000000000001"/>
    <x v="0"/>
    <n v="0.8"/>
    <x v="0"/>
    <n v="0.1045"/>
    <x v="0"/>
    <x v="3"/>
    <x v="22"/>
    <x v="48"/>
  </r>
  <r>
    <n v="601"/>
    <d v="2011-01-28T00:00:00"/>
    <x v="0"/>
    <x v="0"/>
    <x v="0"/>
    <x v="6"/>
    <x v="0"/>
    <n v="5"/>
    <x v="6"/>
    <n v="2"/>
    <x v="1"/>
    <n v="0.18"/>
    <n v="0.19700000000000001"/>
    <x v="0"/>
    <n v="0.8"/>
    <x v="0"/>
    <n v="0.1343"/>
    <x v="0"/>
    <x v="3"/>
    <x v="20"/>
    <x v="0"/>
  </r>
  <r>
    <n v="602"/>
    <d v="2011-01-28T00:00:00"/>
    <x v="0"/>
    <x v="0"/>
    <x v="0"/>
    <x v="7"/>
    <x v="0"/>
    <n v="5"/>
    <x v="6"/>
    <n v="2"/>
    <x v="1"/>
    <n v="0.16"/>
    <n v="0.19700000000000001"/>
    <x v="0"/>
    <n v="0.86"/>
    <x v="0"/>
    <n v="8.9599999999999999E-2"/>
    <x v="0"/>
    <x v="4"/>
    <x v="29"/>
    <x v="122"/>
  </r>
  <r>
    <n v="603"/>
    <d v="2011-01-28T00:00:00"/>
    <x v="0"/>
    <x v="0"/>
    <x v="0"/>
    <x v="8"/>
    <x v="0"/>
    <n v="5"/>
    <x v="6"/>
    <n v="2"/>
    <x v="1"/>
    <n v="0.16"/>
    <n v="0.19700000000000001"/>
    <x v="0"/>
    <n v="0.86"/>
    <x v="0"/>
    <n v="8.9599999999999999E-2"/>
    <x v="0"/>
    <x v="4"/>
    <x v="119"/>
    <x v="45"/>
  </r>
  <r>
    <n v="604"/>
    <d v="2011-01-28T00:00:00"/>
    <x v="0"/>
    <x v="0"/>
    <x v="0"/>
    <x v="9"/>
    <x v="0"/>
    <n v="5"/>
    <x v="6"/>
    <n v="3"/>
    <x v="2"/>
    <n v="0.18"/>
    <n v="0.21210000000000001"/>
    <x v="0"/>
    <n v="0.86"/>
    <x v="0"/>
    <n v="8.9599999999999999E-2"/>
    <x v="0"/>
    <x v="15"/>
    <x v="73"/>
    <x v="129"/>
  </r>
  <r>
    <n v="605"/>
    <d v="2011-01-28T00:00:00"/>
    <x v="0"/>
    <x v="0"/>
    <x v="0"/>
    <x v="10"/>
    <x v="0"/>
    <n v="5"/>
    <x v="6"/>
    <n v="3"/>
    <x v="2"/>
    <n v="0.18"/>
    <n v="0.21210000000000001"/>
    <x v="0"/>
    <n v="0.86"/>
    <x v="0"/>
    <n v="0.1045"/>
    <x v="0"/>
    <x v="3"/>
    <x v="47"/>
    <x v="99"/>
  </r>
  <r>
    <n v="606"/>
    <d v="2011-01-28T00:00:00"/>
    <x v="0"/>
    <x v="0"/>
    <x v="0"/>
    <x v="11"/>
    <x v="0"/>
    <n v="5"/>
    <x v="6"/>
    <n v="3"/>
    <x v="2"/>
    <n v="0.18"/>
    <n v="0.21210000000000001"/>
    <x v="0"/>
    <n v="0.93"/>
    <x v="0"/>
    <n v="0.1045"/>
    <x v="0"/>
    <x v="3"/>
    <x v="10"/>
    <x v="33"/>
  </r>
  <r>
    <n v="607"/>
    <d v="2011-01-28T00:00:00"/>
    <x v="0"/>
    <x v="0"/>
    <x v="0"/>
    <x v="12"/>
    <x v="0"/>
    <n v="5"/>
    <x v="6"/>
    <n v="3"/>
    <x v="2"/>
    <n v="0.18"/>
    <n v="0.21210000000000001"/>
    <x v="0"/>
    <n v="0.93"/>
    <x v="0"/>
    <n v="0.1045"/>
    <x v="0"/>
    <x v="5"/>
    <x v="95"/>
    <x v="115"/>
  </r>
  <r>
    <n v="608"/>
    <d v="2011-01-28T00:00:00"/>
    <x v="0"/>
    <x v="0"/>
    <x v="0"/>
    <x v="13"/>
    <x v="0"/>
    <n v="5"/>
    <x v="6"/>
    <n v="3"/>
    <x v="2"/>
    <n v="0.18"/>
    <n v="0.21210000000000001"/>
    <x v="0"/>
    <n v="0.93"/>
    <x v="0"/>
    <n v="0.1045"/>
    <x v="0"/>
    <x v="3"/>
    <x v="17"/>
    <x v="35"/>
  </r>
  <r>
    <n v="609"/>
    <d v="2011-01-28T00:00:00"/>
    <x v="0"/>
    <x v="0"/>
    <x v="0"/>
    <x v="14"/>
    <x v="0"/>
    <n v="5"/>
    <x v="6"/>
    <n v="3"/>
    <x v="2"/>
    <n v="0.22"/>
    <n v="0.2727"/>
    <x v="0"/>
    <n v="0.8"/>
    <x v="0"/>
    <n v="0"/>
    <x v="0"/>
    <x v="4"/>
    <x v="49"/>
    <x v="103"/>
  </r>
  <r>
    <n v="610"/>
    <d v="2011-01-28T00:00:00"/>
    <x v="0"/>
    <x v="0"/>
    <x v="0"/>
    <x v="15"/>
    <x v="0"/>
    <n v="5"/>
    <x v="6"/>
    <n v="2"/>
    <x v="1"/>
    <n v="0.2"/>
    <n v="0.2576"/>
    <x v="0"/>
    <n v="0.86"/>
    <x v="0"/>
    <n v="0"/>
    <x v="0"/>
    <x v="5"/>
    <x v="71"/>
    <x v="102"/>
  </r>
  <r>
    <n v="611"/>
    <d v="2011-01-28T00:00:00"/>
    <x v="0"/>
    <x v="0"/>
    <x v="0"/>
    <x v="16"/>
    <x v="0"/>
    <n v="5"/>
    <x v="6"/>
    <n v="1"/>
    <x v="0"/>
    <n v="0.22"/>
    <n v="0.2727"/>
    <x v="0"/>
    <n v="0.8"/>
    <x v="0"/>
    <n v="0"/>
    <x v="0"/>
    <x v="22"/>
    <x v="14"/>
    <x v="138"/>
  </r>
  <r>
    <n v="612"/>
    <d v="2011-01-28T00:00:00"/>
    <x v="0"/>
    <x v="0"/>
    <x v="0"/>
    <x v="17"/>
    <x v="0"/>
    <n v="5"/>
    <x v="6"/>
    <n v="1"/>
    <x v="0"/>
    <n v="0.24"/>
    <n v="0.2424"/>
    <x v="0"/>
    <n v="0.75"/>
    <x v="0"/>
    <n v="0.1343"/>
    <x v="0"/>
    <x v="4"/>
    <x v="150"/>
    <x v="165"/>
  </r>
  <r>
    <n v="613"/>
    <d v="2011-01-28T00:00:00"/>
    <x v="0"/>
    <x v="0"/>
    <x v="0"/>
    <x v="18"/>
    <x v="0"/>
    <n v="5"/>
    <x v="6"/>
    <n v="1"/>
    <x v="0"/>
    <n v="0.24"/>
    <n v="0.2273"/>
    <x v="0"/>
    <n v="0.75"/>
    <x v="0"/>
    <n v="0.19400000000000001"/>
    <x v="0"/>
    <x v="4"/>
    <x v="128"/>
    <x v="142"/>
  </r>
  <r>
    <n v="614"/>
    <d v="2011-01-28T00:00:00"/>
    <x v="0"/>
    <x v="0"/>
    <x v="0"/>
    <x v="19"/>
    <x v="0"/>
    <n v="5"/>
    <x v="6"/>
    <n v="2"/>
    <x v="1"/>
    <n v="0.24"/>
    <n v="0.2424"/>
    <x v="0"/>
    <n v="0.75"/>
    <x v="0"/>
    <n v="0.1343"/>
    <x v="0"/>
    <x v="2"/>
    <x v="151"/>
    <x v="70"/>
  </r>
  <r>
    <n v="615"/>
    <d v="2011-01-28T00:00:00"/>
    <x v="0"/>
    <x v="0"/>
    <x v="0"/>
    <x v="20"/>
    <x v="0"/>
    <n v="5"/>
    <x v="6"/>
    <n v="2"/>
    <x v="1"/>
    <n v="0.24"/>
    <n v="0.2273"/>
    <x v="0"/>
    <n v="0.7"/>
    <x v="0"/>
    <n v="0.19400000000000001"/>
    <x v="0"/>
    <x v="5"/>
    <x v="124"/>
    <x v="69"/>
  </r>
  <r>
    <n v="616"/>
    <d v="2011-01-28T00:00:00"/>
    <x v="0"/>
    <x v="0"/>
    <x v="0"/>
    <x v="21"/>
    <x v="0"/>
    <n v="5"/>
    <x v="6"/>
    <n v="2"/>
    <x v="1"/>
    <n v="0.22"/>
    <n v="0.2273"/>
    <x v="0"/>
    <n v="0.75"/>
    <x v="0"/>
    <n v="0.1343"/>
    <x v="0"/>
    <x v="5"/>
    <x v="77"/>
    <x v="154"/>
  </r>
  <r>
    <n v="617"/>
    <d v="2011-01-28T00:00:00"/>
    <x v="0"/>
    <x v="0"/>
    <x v="0"/>
    <x v="22"/>
    <x v="0"/>
    <n v="5"/>
    <x v="6"/>
    <n v="1"/>
    <x v="0"/>
    <n v="0.24"/>
    <n v="0.21210000000000001"/>
    <x v="0"/>
    <n v="0.65"/>
    <x v="1"/>
    <n v="0.35820000000000002"/>
    <x v="1"/>
    <x v="3"/>
    <x v="16"/>
    <x v="132"/>
  </r>
  <r>
    <n v="618"/>
    <d v="2011-01-28T00:00:00"/>
    <x v="0"/>
    <x v="0"/>
    <x v="0"/>
    <x v="23"/>
    <x v="0"/>
    <n v="5"/>
    <x v="6"/>
    <n v="1"/>
    <x v="0"/>
    <n v="0.24"/>
    <n v="0.2273"/>
    <x v="0"/>
    <n v="0.6"/>
    <x v="1"/>
    <n v="0.22389999999999999"/>
    <x v="1"/>
    <x v="5"/>
    <x v="97"/>
    <x v="84"/>
  </r>
  <r>
    <n v="619"/>
    <d v="2011-01-29T00:00:00"/>
    <x v="0"/>
    <x v="0"/>
    <x v="0"/>
    <x v="0"/>
    <x v="0"/>
    <n v="6"/>
    <x v="0"/>
    <n v="1"/>
    <x v="0"/>
    <n v="0.22"/>
    <n v="0.19700000000000001"/>
    <x v="0"/>
    <n v="0.64"/>
    <x v="1"/>
    <n v="0.35820000000000002"/>
    <x v="1"/>
    <x v="4"/>
    <x v="16"/>
    <x v="20"/>
  </r>
  <r>
    <n v="620"/>
    <d v="2011-01-29T00:00:00"/>
    <x v="0"/>
    <x v="0"/>
    <x v="0"/>
    <x v="1"/>
    <x v="0"/>
    <n v="6"/>
    <x v="0"/>
    <n v="1"/>
    <x v="0"/>
    <n v="0.22"/>
    <n v="0.2273"/>
    <x v="0"/>
    <n v="0.64"/>
    <x v="1"/>
    <n v="0.19400000000000001"/>
    <x v="0"/>
    <x v="3"/>
    <x v="32"/>
    <x v="25"/>
  </r>
  <r>
    <n v="621"/>
    <d v="2011-01-29T00:00:00"/>
    <x v="0"/>
    <x v="0"/>
    <x v="0"/>
    <x v="2"/>
    <x v="0"/>
    <n v="6"/>
    <x v="0"/>
    <n v="1"/>
    <x v="0"/>
    <n v="0.22"/>
    <n v="0.2273"/>
    <x v="0"/>
    <n v="0.64"/>
    <x v="1"/>
    <n v="0.16420000000000001"/>
    <x v="0"/>
    <x v="3"/>
    <x v="89"/>
    <x v="93"/>
  </r>
  <r>
    <n v="622"/>
    <d v="2011-01-29T00:00:00"/>
    <x v="0"/>
    <x v="0"/>
    <x v="0"/>
    <x v="3"/>
    <x v="0"/>
    <n v="6"/>
    <x v="0"/>
    <n v="1"/>
    <x v="0"/>
    <n v="0.2"/>
    <n v="0.21210000000000001"/>
    <x v="0"/>
    <n v="0.64"/>
    <x v="1"/>
    <n v="0.1343"/>
    <x v="0"/>
    <x v="0"/>
    <x v="34"/>
    <x v="7"/>
  </r>
  <r>
    <n v="623"/>
    <d v="2011-01-29T00:00:00"/>
    <x v="0"/>
    <x v="0"/>
    <x v="0"/>
    <x v="4"/>
    <x v="0"/>
    <n v="6"/>
    <x v="0"/>
    <n v="1"/>
    <x v="0"/>
    <n v="0.16"/>
    <n v="0.18179999999999999"/>
    <x v="0"/>
    <n v="0.69"/>
    <x v="1"/>
    <n v="0.1045"/>
    <x v="0"/>
    <x v="5"/>
    <x v="6"/>
    <x v="6"/>
  </r>
  <r>
    <n v="624"/>
    <d v="2011-01-29T00:00:00"/>
    <x v="0"/>
    <x v="0"/>
    <x v="0"/>
    <x v="6"/>
    <x v="0"/>
    <n v="6"/>
    <x v="0"/>
    <n v="1"/>
    <x v="0"/>
    <n v="0.16"/>
    <n v="0.18179999999999999"/>
    <x v="0"/>
    <n v="0.64"/>
    <x v="1"/>
    <n v="0.1343"/>
    <x v="0"/>
    <x v="3"/>
    <x v="6"/>
    <x v="5"/>
  </r>
  <r>
    <n v="625"/>
    <d v="2011-01-29T00:00:00"/>
    <x v="0"/>
    <x v="0"/>
    <x v="0"/>
    <x v="7"/>
    <x v="0"/>
    <n v="6"/>
    <x v="0"/>
    <n v="1"/>
    <x v="0"/>
    <n v="0.16"/>
    <n v="0.18179999999999999"/>
    <x v="0"/>
    <n v="0.59"/>
    <x v="1"/>
    <n v="0.1045"/>
    <x v="0"/>
    <x v="5"/>
    <x v="22"/>
    <x v="36"/>
  </r>
  <r>
    <n v="626"/>
    <d v="2011-01-29T00:00:00"/>
    <x v="0"/>
    <x v="0"/>
    <x v="0"/>
    <x v="8"/>
    <x v="0"/>
    <n v="6"/>
    <x v="0"/>
    <n v="1"/>
    <x v="0"/>
    <n v="0.18"/>
    <n v="0.19700000000000001"/>
    <x v="0"/>
    <n v="0.55000000000000004"/>
    <x v="1"/>
    <n v="0.16420000000000001"/>
    <x v="0"/>
    <x v="0"/>
    <x v="17"/>
    <x v="19"/>
  </r>
  <r>
    <n v="627"/>
    <d v="2011-01-29T00:00:00"/>
    <x v="0"/>
    <x v="0"/>
    <x v="0"/>
    <x v="9"/>
    <x v="0"/>
    <n v="6"/>
    <x v="0"/>
    <n v="1"/>
    <x v="0"/>
    <n v="0.18"/>
    <n v="0.21210000000000001"/>
    <x v="0"/>
    <n v="0.59"/>
    <x v="1"/>
    <n v="8.9599999999999999E-2"/>
    <x v="0"/>
    <x v="3"/>
    <x v="60"/>
    <x v="19"/>
  </r>
  <r>
    <n v="628"/>
    <d v="2011-01-29T00:00:00"/>
    <x v="0"/>
    <x v="0"/>
    <x v="0"/>
    <x v="10"/>
    <x v="0"/>
    <n v="6"/>
    <x v="0"/>
    <n v="2"/>
    <x v="1"/>
    <n v="0.18"/>
    <n v="0.21210000000000001"/>
    <x v="0"/>
    <n v="0.64"/>
    <x v="1"/>
    <n v="0.1045"/>
    <x v="0"/>
    <x v="17"/>
    <x v="82"/>
    <x v="97"/>
  </r>
  <r>
    <n v="629"/>
    <d v="2011-01-29T00:00:00"/>
    <x v="0"/>
    <x v="0"/>
    <x v="0"/>
    <x v="11"/>
    <x v="0"/>
    <n v="6"/>
    <x v="0"/>
    <n v="2"/>
    <x v="1"/>
    <n v="0.18"/>
    <n v="0.19700000000000001"/>
    <x v="0"/>
    <n v="0.64"/>
    <x v="1"/>
    <n v="0.1343"/>
    <x v="0"/>
    <x v="17"/>
    <x v="91"/>
    <x v="37"/>
  </r>
  <r>
    <n v="630"/>
    <d v="2011-01-29T00:00:00"/>
    <x v="0"/>
    <x v="0"/>
    <x v="0"/>
    <x v="12"/>
    <x v="0"/>
    <n v="6"/>
    <x v="0"/>
    <n v="2"/>
    <x v="1"/>
    <n v="0.2"/>
    <n v="0.19700000000000001"/>
    <x v="0"/>
    <n v="0.59"/>
    <x v="1"/>
    <n v="0.19400000000000001"/>
    <x v="0"/>
    <x v="6"/>
    <x v="43"/>
    <x v="53"/>
  </r>
  <r>
    <n v="631"/>
    <d v="2011-01-29T00:00:00"/>
    <x v="0"/>
    <x v="0"/>
    <x v="0"/>
    <x v="13"/>
    <x v="0"/>
    <n v="6"/>
    <x v="0"/>
    <n v="2"/>
    <x v="1"/>
    <n v="0.22"/>
    <n v="0.2273"/>
    <x v="0"/>
    <n v="0.55000000000000004"/>
    <x v="1"/>
    <n v="0.16420000000000001"/>
    <x v="0"/>
    <x v="14"/>
    <x v="90"/>
    <x v="32"/>
  </r>
  <r>
    <n v="632"/>
    <d v="2011-01-29T00:00:00"/>
    <x v="0"/>
    <x v="0"/>
    <x v="0"/>
    <x v="14"/>
    <x v="0"/>
    <n v="6"/>
    <x v="0"/>
    <n v="2"/>
    <x v="1"/>
    <n v="0.22"/>
    <n v="0.2273"/>
    <x v="0"/>
    <n v="0.6"/>
    <x v="1"/>
    <n v="0.1343"/>
    <x v="0"/>
    <x v="22"/>
    <x v="121"/>
    <x v="111"/>
  </r>
  <r>
    <n v="633"/>
    <d v="2011-01-29T00:00:00"/>
    <x v="0"/>
    <x v="0"/>
    <x v="0"/>
    <x v="15"/>
    <x v="0"/>
    <n v="6"/>
    <x v="0"/>
    <n v="1"/>
    <x v="0"/>
    <n v="0.22"/>
    <n v="0.21210000000000001"/>
    <x v="0"/>
    <n v="0.69"/>
    <x v="1"/>
    <n v="0.25369999999999998"/>
    <x v="1"/>
    <x v="30"/>
    <x v="52"/>
    <x v="151"/>
  </r>
  <r>
    <n v="634"/>
    <d v="2011-01-29T00:00:00"/>
    <x v="0"/>
    <x v="0"/>
    <x v="0"/>
    <x v="16"/>
    <x v="0"/>
    <n v="6"/>
    <x v="0"/>
    <n v="1"/>
    <x v="0"/>
    <n v="0.24"/>
    <n v="0.2424"/>
    <x v="0"/>
    <n v="0.6"/>
    <x v="1"/>
    <n v="0.16420000000000001"/>
    <x v="0"/>
    <x v="21"/>
    <x v="152"/>
    <x v="166"/>
  </r>
  <r>
    <n v="635"/>
    <d v="2011-01-29T00:00:00"/>
    <x v="0"/>
    <x v="0"/>
    <x v="0"/>
    <x v="17"/>
    <x v="0"/>
    <n v="6"/>
    <x v="0"/>
    <n v="1"/>
    <x v="0"/>
    <n v="0.24"/>
    <n v="0.28789999999999999"/>
    <x v="0"/>
    <n v="0.6"/>
    <x v="1"/>
    <n v="0"/>
    <x v="0"/>
    <x v="14"/>
    <x v="70"/>
    <x v="134"/>
  </r>
  <r>
    <n v="636"/>
    <d v="2011-01-29T00:00:00"/>
    <x v="0"/>
    <x v="0"/>
    <x v="0"/>
    <x v="18"/>
    <x v="0"/>
    <n v="6"/>
    <x v="0"/>
    <n v="1"/>
    <x v="0"/>
    <n v="0.22"/>
    <n v="0.2273"/>
    <x v="0"/>
    <n v="0.69"/>
    <x v="1"/>
    <n v="0.1343"/>
    <x v="0"/>
    <x v="14"/>
    <x v="79"/>
    <x v="118"/>
  </r>
  <r>
    <n v="637"/>
    <d v="2011-01-29T00:00:00"/>
    <x v="0"/>
    <x v="0"/>
    <x v="0"/>
    <x v="19"/>
    <x v="0"/>
    <n v="6"/>
    <x v="0"/>
    <n v="2"/>
    <x v="1"/>
    <n v="0.22"/>
    <n v="0.21210000000000001"/>
    <x v="0"/>
    <n v="0.69"/>
    <x v="1"/>
    <n v="0.25369999999999998"/>
    <x v="1"/>
    <x v="15"/>
    <x v="15"/>
    <x v="154"/>
  </r>
  <r>
    <n v="638"/>
    <d v="2011-01-29T00:00:00"/>
    <x v="0"/>
    <x v="0"/>
    <x v="0"/>
    <x v="20"/>
    <x v="0"/>
    <n v="6"/>
    <x v="0"/>
    <n v="1"/>
    <x v="0"/>
    <n v="0.18"/>
    <n v="0.21210000000000001"/>
    <x v="0"/>
    <n v="0.74"/>
    <x v="0"/>
    <n v="8.9599999999999999E-2"/>
    <x v="0"/>
    <x v="5"/>
    <x v="76"/>
    <x v="74"/>
  </r>
  <r>
    <n v="639"/>
    <d v="2011-01-29T00:00:00"/>
    <x v="0"/>
    <x v="0"/>
    <x v="0"/>
    <x v="21"/>
    <x v="0"/>
    <n v="6"/>
    <x v="0"/>
    <n v="1"/>
    <x v="0"/>
    <n v="0.18"/>
    <n v="0.21210000000000001"/>
    <x v="0"/>
    <n v="0.74"/>
    <x v="0"/>
    <n v="8.9599999999999999E-2"/>
    <x v="0"/>
    <x v="5"/>
    <x v="96"/>
    <x v="9"/>
  </r>
  <r>
    <n v="640"/>
    <d v="2011-01-29T00:00:00"/>
    <x v="0"/>
    <x v="0"/>
    <x v="0"/>
    <x v="22"/>
    <x v="0"/>
    <n v="6"/>
    <x v="0"/>
    <n v="1"/>
    <x v="0"/>
    <n v="0.16"/>
    <n v="0.19700000000000001"/>
    <x v="0"/>
    <n v="0.8"/>
    <x v="0"/>
    <n v="8.9599999999999999E-2"/>
    <x v="0"/>
    <x v="17"/>
    <x v="95"/>
    <x v="2"/>
  </r>
  <r>
    <n v="641"/>
    <d v="2011-01-29T00:00:00"/>
    <x v="0"/>
    <x v="0"/>
    <x v="0"/>
    <x v="23"/>
    <x v="0"/>
    <n v="6"/>
    <x v="0"/>
    <n v="1"/>
    <x v="0"/>
    <n v="0.16"/>
    <n v="0.19700000000000001"/>
    <x v="0"/>
    <n v="0.8"/>
    <x v="0"/>
    <n v="8.9599999999999999E-2"/>
    <x v="0"/>
    <x v="0"/>
    <x v="10"/>
    <x v="63"/>
  </r>
  <r>
    <n v="642"/>
    <d v="2011-01-30T00:00:00"/>
    <x v="0"/>
    <x v="0"/>
    <x v="0"/>
    <x v="0"/>
    <x v="0"/>
    <n v="0"/>
    <x v="1"/>
    <n v="1"/>
    <x v="0"/>
    <n v="0.16"/>
    <n v="0.18179999999999999"/>
    <x v="0"/>
    <n v="0.8"/>
    <x v="0"/>
    <n v="0.1045"/>
    <x v="0"/>
    <x v="3"/>
    <x v="39"/>
    <x v="63"/>
  </r>
  <r>
    <n v="643"/>
    <d v="2011-01-30T00:00:00"/>
    <x v="0"/>
    <x v="0"/>
    <x v="0"/>
    <x v="1"/>
    <x v="0"/>
    <n v="0"/>
    <x v="1"/>
    <n v="1"/>
    <x v="0"/>
    <n v="0.14000000000000001"/>
    <n v="0.21210000000000001"/>
    <x v="0"/>
    <n v="0.8"/>
    <x v="0"/>
    <n v="0"/>
    <x v="0"/>
    <x v="18"/>
    <x v="97"/>
    <x v="115"/>
  </r>
  <r>
    <n v="644"/>
    <d v="2011-01-30T00:00:00"/>
    <x v="0"/>
    <x v="0"/>
    <x v="0"/>
    <x v="2"/>
    <x v="0"/>
    <n v="0"/>
    <x v="1"/>
    <n v="1"/>
    <x v="0"/>
    <n v="0.16"/>
    <n v="0.2273"/>
    <x v="0"/>
    <n v="0.8"/>
    <x v="0"/>
    <n v="0"/>
    <x v="0"/>
    <x v="5"/>
    <x v="3"/>
    <x v="62"/>
  </r>
  <r>
    <n v="645"/>
    <d v="2011-01-30T00:00:00"/>
    <x v="0"/>
    <x v="0"/>
    <x v="0"/>
    <x v="3"/>
    <x v="0"/>
    <n v="0"/>
    <x v="1"/>
    <n v="1"/>
    <x v="0"/>
    <n v="0.14000000000000001"/>
    <n v="0.21210000000000001"/>
    <x v="0"/>
    <n v="0.93"/>
    <x v="0"/>
    <n v="0"/>
    <x v="0"/>
    <x v="5"/>
    <x v="7"/>
    <x v="7"/>
  </r>
  <r>
    <n v="646"/>
    <d v="2011-01-30T00:00:00"/>
    <x v="0"/>
    <x v="0"/>
    <x v="0"/>
    <x v="4"/>
    <x v="0"/>
    <n v="0"/>
    <x v="1"/>
    <n v="1"/>
    <x v="0"/>
    <n v="0.14000000000000001"/>
    <n v="0.21210000000000001"/>
    <x v="0"/>
    <n v="0.93"/>
    <x v="0"/>
    <n v="0"/>
    <x v="0"/>
    <x v="3"/>
    <x v="4"/>
    <x v="4"/>
  </r>
  <r>
    <n v="647"/>
    <d v="2011-01-30T00:00:00"/>
    <x v="0"/>
    <x v="0"/>
    <x v="0"/>
    <x v="5"/>
    <x v="0"/>
    <n v="0"/>
    <x v="1"/>
    <n v="1"/>
    <x v="0"/>
    <n v="0.14000000000000001"/>
    <n v="0.21210000000000001"/>
    <x v="0"/>
    <n v="0.86"/>
    <x v="0"/>
    <n v="0"/>
    <x v="0"/>
    <x v="3"/>
    <x v="35"/>
    <x v="6"/>
  </r>
  <r>
    <n v="648"/>
    <d v="2011-01-30T00:00:00"/>
    <x v="0"/>
    <x v="0"/>
    <x v="0"/>
    <x v="7"/>
    <x v="0"/>
    <n v="0"/>
    <x v="1"/>
    <n v="1"/>
    <x v="0"/>
    <n v="0.14000000000000001"/>
    <n v="0.21210000000000001"/>
    <x v="0"/>
    <n v="0.86"/>
    <x v="0"/>
    <n v="0"/>
    <x v="0"/>
    <x v="3"/>
    <x v="35"/>
    <x v="6"/>
  </r>
  <r>
    <n v="649"/>
    <d v="2011-01-30T00:00:00"/>
    <x v="0"/>
    <x v="0"/>
    <x v="0"/>
    <x v="8"/>
    <x v="0"/>
    <n v="0"/>
    <x v="1"/>
    <n v="2"/>
    <x v="1"/>
    <n v="0.14000000000000001"/>
    <n v="0.21210000000000001"/>
    <x v="0"/>
    <n v="0.86"/>
    <x v="0"/>
    <n v="0"/>
    <x v="0"/>
    <x v="5"/>
    <x v="48"/>
    <x v="47"/>
  </r>
  <r>
    <n v="650"/>
    <d v="2011-01-30T00:00:00"/>
    <x v="0"/>
    <x v="0"/>
    <x v="0"/>
    <x v="9"/>
    <x v="0"/>
    <n v="0"/>
    <x v="1"/>
    <n v="2"/>
    <x v="1"/>
    <n v="0.16"/>
    <n v="0.2273"/>
    <x v="0"/>
    <n v="0.8"/>
    <x v="0"/>
    <n v="0"/>
    <x v="0"/>
    <x v="17"/>
    <x v="60"/>
    <x v="103"/>
  </r>
  <r>
    <n v="651"/>
    <d v="2011-01-30T00:00:00"/>
    <x v="0"/>
    <x v="0"/>
    <x v="0"/>
    <x v="10"/>
    <x v="0"/>
    <n v="0"/>
    <x v="1"/>
    <n v="2"/>
    <x v="1"/>
    <n v="0.18"/>
    <n v="0.2424"/>
    <x v="0"/>
    <n v="0.8"/>
    <x v="0"/>
    <n v="0"/>
    <x v="0"/>
    <x v="18"/>
    <x v="77"/>
    <x v="37"/>
  </r>
  <r>
    <n v="652"/>
    <d v="2011-01-30T00:00:00"/>
    <x v="0"/>
    <x v="0"/>
    <x v="0"/>
    <x v="11"/>
    <x v="0"/>
    <n v="0"/>
    <x v="1"/>
    <n v="1"/>
    <x v="0"/>
    <n v="0.22"/>
    <n v="0.2727"/>
    <x v="0"/>
    <n v="0.75"/>
    <x v="0"/>
    <n v="0"/>
    <x v="0"/>
    <x v="14"/>
    <x v="54"/>
    <x v="29"/>
  </r>
  <r>
    <n v="653"/>
    <d v="2011-01-30T00:00:00"/>
    <x v="0"/>
    <x v="0"/>
    <x v="0"/>
    <x v="12"/>
    <x v="0"/>
    <n v="0"/>
    <x v="1"/>
    <n v="1"/>
    <x v="0"/>
    <n v="0.3"/>
    <n v="0.31819999999999998"/>
    <x v="1"/>
    <n v="0.52"/>
    <x v="1"/>
    <n v="0.1045"/>
    <x v="0"/>
    <x v="22"/>
    <x v="61"/>
    <x v="54"/>
  </r>
  <r>
    <n v="654"/>
    <d v="2011-01-30T00:00:00"/>
    <x v="0"/>
    <x v="0"/>
    <x v="0"/>
    <x v="13"/>
    <x v="0"/>
    <n v="0"/>
    <x v="1"/>
    <n v="1"/>
    <x v="0"/>
    <n v="0.28000000000000003"/>
    <n v="0.28789999999999999"/>
    <x v="0"/>
    <n v="0.61"/>
    <x v="1"/>
    <n v="0.1045"/>
    <x v="0"/>
    <x v="23"/>
    <x v="13"/>
    <x v="11"/>
  </r>
  <r>
    <n v="655"/>
    <d v="2011-01-30T00:00:00"/>
    <x v="0"/>
    <x v="0"/>
    <x v="0"/>
    <x v="14"/>
    <x v="0"/>
    <n v="0"/>
    <x v="1"/>
    <n v="1"/>
    <x v="0"/>
    <n v="0.28000000000000003"/>
    <n v="0.30299999999999999"/>
    <x v="1"/>
    <n v="0.61"/>
    <x v="1"/>
    <n v="8.9599999999999999E-2"/>
    <x v="0"/>
    <x v="25"/>
    <x v="153"/>
    <x v="78"/>
  </r>
  <r>
    <n v="656"/>
    <d v="2011-01-30T00:00:00"/>
    <x v="0"/>
    <x v="0"/>
    <x v="0"/>
    <x v="15"/>
    <x v="0"/>
    <n v="0"/>
    <x v="1"/>
    <n v="1"/>
    <x v="0"/>
    <n v="0.3"/>
    <n v="0.33329999999999999"/>
    <x v="1"/>
    <n v="0.56000000000000005"/>
    <x v="1"/>
    <n v="0"/>
    <x v="0"/>
    <x v="24"/>
    <x v="73"/>
    <x v="142"/>
  </r>
  <r>
    <n v="657"/>
    <d v="2011-01-30T00:00:00"/>
    <x v="0"/>
    <x v="0"/>
    <x v="0"/>
    <x v="16"/>
    <x v="0"/>
    <n v="0"/>
    <x v="1"/>
    <n v="1"/>
    <x v="0"/>
    <n v="0.3"/>
    <n v="0.33329999999999999"/>
    <x v="1"/>
    <n v="0.56000000000000005"/>
    <x v="1"/>
    <n v="0"/>
    <x v="0"/>
    <x v="21"/>
    <x v="153"/>
    <x v="92"/>
  </r>
  <r>
    <n v="658"/>
    <d v="2011-01-30T00:00:00"/>
    <x v="0"/>
    <x v="0"/>
    <x v="0"/>
    <x v="17"/>
    <x v="0"/>
    <n v="0"/>
    <x v="1"/>
    <n v="1"/>
    <x v="0"/>
    <n v="0.3"/>
    <n v="0.28789999999999999"/>
    <x v="0"/>
    <n v="0.56000000000000005"/>
    <x v="1"/>
    <n v="0.19400000000000001"/>
    <x v="0"/>
    <x v="15"/>
    <x v="13"/>
    <x v="43"/>
  </r>
  <r>
    <n v="659"/>
    <d v="2011-01-30T00:00:00"/>
    <x v="0"/>
    <x v="0"/>
    <x v="0"/>
    <x v="18"/>
    <x v="0"/>
    <n v="0"/>
    <x v="1"/>
    <n v="1"/>
    <x v="0"/>
    <n v="0.26"/>
    <n v="0.2576"/>
    <x v="0"/>
    <n v="0.65"/>
    <x v="1"/>
    <n v="0.16420000000000001"/>
    <x v="0"/>
    <x v="1"/>
    <x v="77"/>
    <x v="32"/>
  </r>
  <r>
    <n v="660"/>
    <d v="2011-01-30T00:00:00"/>
    <x v="0"/>
    <x v="0"/>
    <x v="0"/>
    <x v="19"/>
    <x v="0"/>
    <n v="0"/>
    <x v="1"/>
    <n v="1"/>
    <x v="0"/>
    <n v="0.26"/>
    <n v="0.2576"/>
    <x v="0"/>
    <n v="0.65"/>
    <x v="1"/>
    <n v="0.19400000000000001"/>
    <x v="0"/>
    <x v="14"/>
    <x v="24"/>
    <x v="97"/>
  </r>
  <r>
    <n v="661"/>
    <d v="2011-01-30T00:00:00"/>
    <x v="0"/>
    <x v="0"/>
    <x v="0"/>
    <x v="20"/>
    <x v="0"/>
    <n v="0"/>
    <x v="1"/>
    <n v="2"/>
    <x v="1"/>
    <n v="0.26"/>
    <n v="0.2727"/>
    <x v="0"/>
    <n v="0.65"/>
    <x v="1"/>
    <n v="0.1045"/>
    <x v="0"/>
    <x v="0"/>
    <x v="10"/>
    <x v="63"/>
  </r>
  <r>
    <n v="662"/>
    <d v="2011-01-30T00:00:00"/>
    <x v="0"/>
    <x v="0"/>
    <x v="0"/>
    <x v="21"/>
    <x v="0"/>
    <n v="0"/>
    <x v="1"/>
    <n v="2"/>
    <x v="1"/>
    <n v="0.24"/>
    <n v="0.2424"/>
    <x v="0"/>
    <n v="0.7"/>
    <x v="0"/>
    <n v="0.16420000000000001"/>
    <x v="0"/>
    <x v="0"/>
    <x v="18"/>
    <x v="20"/>
  </r>
  <r>
    <n v="663"/>
    <d v="2011-01-30T00:00:00"/>
    <x v="0"/>
    <x v="0"/>
    <x v="0"/>
    <x v="22"/>
    <x v="0"/>
    <n v="0"/>
    <x v="1"/>
    <n v="2"/>
    <x v="1"/>
    <n v="0.24"/>
    <n v="0.2273"/>
    <x v="0"/>
    <n v="0.7"/>
    <x v="0"/>
    <n v="0.19400000000000001"/>
    <x v="0"/>
    <x v="4"/>
    <x v="23"/>
    <x v="137"/>
  </r>
  <r>
    <n v="664"/>
    <d v="2011-01-30T00:00:00"/>
    <x v="0"/>
    <x v="0"/>
    <x v="0"/>
    <x v="23"/>
    <x v="0"/>
    <n v="0"/>
    <x v="1"/>
    <n v="2"/>
    <x v="1"/>
    <n v="0.24"/>
    <n v="0.21210000000000001"/>
    <x v="0"/>
    <n v="0.65"/>
    <x v="1"/>
    <n v="0.28360000000000002"/>
    <x v="1"/>
    <x v="2"/>
    <x v="20"/>
    <x v="137"/>
  </r>
  <r>
    <n v="665"/>
    <d v="2011-01-31T00:00:00"/>
    <x v="0"/>
    <x v="0"/>
    <x v="0"/>
    <x v="0"/>
    <x v="0"/>
    <n v="1"/>
    <x v="2"/>
    <n v="2"/>
    <x v="1"/>
    <n v="0.24"/>
    <n v="0.2273"/>
    <x v="0"/>
    <n v="0.65"/>
    <x v="1"/>
    <n v="0.22389999999999999"/>
    <x v="1"/>
    <x v="5"/>
    <x v="8"/>
    <x v="85"/>
  </r>
  <r>
    <n v="666"/>
    <d v="2011-01-31T00:00:00"/>
    <x v="0"/>
    <x v="0"/>
    <x v="0"/>
    <x v="1"/>
    <x v="0"/>
    <n v="1"/>
    <x v="2"/>
    <n v="1"/>
    <x v="0"/>
    <n v="0.22"/>
    <n v="0.21210000000000001"/>
    <x v="0"/>
    <n v="0.64"/>
    <x v="1"/>
    <n v="0.25369999999999998"/>
    <x v="1"/>
    <x v="4"/>
    <x v="34"/>
    <x v="85"/>
  </r>
  <r>
    <n v="667"/>
    <d v="2011-01-31T00:00:00"/>
    <x v="0"/>
    <x v="0"/>
    <x v="0"/>
    <x v="2"/>
    <x v="0"/>
    <n v="1"/>
    <x v="2"/>
    <n v="1"/>
    <x v="0"/>
    <n v="0.22"/>
    <n v="0.2273"/>
    <x v="0"/>
    <n v="0.64"/>
    <x v="1"/>
    <n v="0.19400000000000001"/>
    <x v="0"/>
    <x v="3"/>
    <x v="4"/>
    <x v="4"/>
  </r>
  <r>
    <n v="668"/>
    <d v="2011-01-31T00:00:00"/>
    <x v="0"/>
    <x v="0"/>
    <x v="0"/>
    <x v="3"/>
    <x v="0"/>
    <n v="1"/>
    <x v="2"/>
    <n v="1"/>
    <x v="0"/>
    <n v="0.22"/>
    <n v="0.2273"/>
    <x v="0"/>
    <n v="0.64"/>
    <x v="1"/>
    <n v="0.19400000000000001"/>
    <x v="0"/>
    <x v="3"/>
    <x v="6"/>
    <x v="5"/>
  </r>
  <r>
    <n v="669"/>
    <d v="2011-01-31T00:00:00"/>
    <x v="0"/>
    <x v="0"/>
    <x v="0"/>
    <x v="4"/>
    <x v="0"/>
    <n v="1"/>
    <x v="2"/>
    <n v="1"/>
    <x v="0"/>
    <n v="0.2"/>
    <n v="0.19700000000000001"/>
    <x v="0"/>
    <n v="0.59"/>
    <x v="1"/>
    <n v="0.22389999999999999"/>
    <x v="1"/>
    <x v="3"/>
    <x v="6"/>
    <x v="5"/>
  </r>
  <r>
    <n v="670"/>
    <d v="2011-01-31T00:00:00"/>
    <x v="0"/>
    <x v="0"/>
    <x v="0"/>
    <x v="5"/>
    <x v="0"/>
    <n v="1"/>
    <x v="2"/>
    <n v="1"/>
    <x v="0"/>
    <n v="0.18"/>
    <n v="0.16669999999999999"/>
    <x v="0"/>
    <n v="0.64"/>
    <x v="1"/>
    <n v="0.28360000000000002"/>
    <x v="1"/>
    <x v="3"/>
    <x v="21"/>
    <x v="7"/>
  </r>
  <r>
    <n v="671"/>
    <d v="2011-01-31T00:00:00"/>
    <x v="0"/>
    <x v="0"/>
    <x v="0"/>
    <x v="6"/>
    <x v="0"/>
    <n v="1"/>
    <x v="2"/>
    <n v="1"/>
    <x v="0"/>
    <n v="0.16"/>
    <n v="0.13639999999999999"/>
    <x v="0"/>
    <n v="0.69"/>
    <x v="1"/>
    <n v="0.32840000000000003"/>
    <x v="1"/>
    <x v="3"/>
    <x v="53"/>
    <x v="18"/>
  </r>
  <r>
    <n v="672"/>
    <d v="2011-01-31T00:00:00"/>
    <x v="0"/>
    <x v="0"/>
    <x v="0"/>
    <x v="7"/>
    <x v="0"/>
    <n v="1"/>
    <x v="2"/>
    <n v="2"/>
    <x v="1"/>
    <n v="0.16"/>
    <n v="0.13639999999999999"/>
    <x v="0"/>
    <n v="0.64"/>
    <x v="1"/>
    <n v="0.28360000000000002"/>
    <x v="1"/>
    <x v="5"/>
    <x v="13"/>
    <x v="44"/>
  </r>
  <r>
    <n v="673"/>
    <d v="2011-01-31T00:00:00"/>
    <x v="0"/>
    <x v="0"/>
    <x v="0"/>
    <x v="8"/>
    <x v="0"/>
    <n v="1"/>
    <x v="2"/>
    <n v="2"/>
    <x v="1"/>
    <n v="0.16"/>
    <n v="0.13639999999999999"/>
    <x v="0"/>
    <n v="0.59"/>
    <x v="1"/>
    <n v="0.28360000000000002"/>
    <x v="1"/>
    <x v="0"/>
    <x v="154"/>
    <x v="147"/>
  </r>
  <r>
    <n v="674"/>
    <d v="2011-01-31T00:00:00"/>
    <x v="0"/>
    <x v="0"/>
    <x v="0"/>
    <x v="9"/>
    <x v="0"/>
    <n v="1"/>
    <x v="2"/>
    <n v="2"/>
    <x v="1"/>
    <n v="0.16"/>
    <n v="0.13639999999999999"/>
    <x v="0"/>
    <n v="0.59"/>
    <x v="1"/>
    <n v="0.29849999999999999"/>
    <x v="1"/>
    <x v="3"/>
    <x v="155"/>
    <x v="59"/>
  </r>
  <r>
    <n v="675"/>
    <d v="2011-01-31T00:00:00"/>
    <x v="0"/>
    <x v="0"/>
    <x v="0"/>
    <x v="10"/>
    <x v="0"/>
    <n v="1"/>
    <x v="2"/>
    <n v="2"/>
    <x v="1"/>
    <n v="0.16"/>
    <n v="0.1515"/>
    <x v="0"/>
    <n v="0.59"/>
    <x v="1"/>
    <n v="0.19400000000000001"/>
    <x v="0"/>
    <x v="5"/>
    <x v="56"/>
    <x v="83"/>
  </r>
  <r>
    <n v="676"/>
    <d v="2011-01-31T00:00:00"/>
    <x v="0"/>
    <x v="0"/>
    <x v="0"/>
    <x v="11"/>
    <x v="0"/>
    <n v="1"/>
    <x v="2"/>
    <n v="2"/>
    <x v="1"/>
    <n v="0.16"/>
    <n v="0.1515"/>
    <x v="0"/>
    <n v="0.59"/>
    <x v="1"/>
    <n v="0.19400000000000001"/>
    <x v="0"/>
    <x v="4"/>
    <x v="24"/>
    <x v="61"/>
  </r>
  <r>
    <n v="677"/>
    <d v="2011-01-31T00:00:00"/>
    <x v="0"/>
    <x v="0"/>
    <x v="0"/>
    <x v="12"/>
    <x v="0"/>
    <n v="1"/>
    <x v="2"/>
    <n v="2"/>
    <x v="1"/>
    <n v="0.18"/>
    <n v="0.21210000000000001"/>
    <x v="0"/>
    <n v="0.55000000000000004"/>
    <x v="1"/>
    <n v="0.1045"/>
    <x v="0"/>
    <x v="15"/>
    <x v="133"/>
    <x v="118"/>
  </r>
  <r>
    <n v="678"/>
    <d v="2011-01-31T00:00:00"/>
    <x v="0"/>
    <x v="0"/>
    <x v="0"/>
    <x v="13"/>
    <x v="0"/>
    <n v="1"/>
    <x v="2"/>
    <n v="2"/>
    <x v="1"/>
    <n v="0.16"/>
    <n v="0.2273"/>
    <x v="0"/>
    <n v="0.59"/>
    <x v="1"/>
    <n v="0"/>
    <x v="0"/>
    <x v="4"/>
    <x v="15"/>
    <x v="60"/>
  </r>
  <r>
    <n v="679"/>
    <d v="2011-01-31T00:00:00"/>
    <x v="0"/>
    <x v="0"/>
    <x v="0"/>
    <x v="14"/>
    <x v="0"/>
    <n v="1"/>
    <x v="2"/>
    <n v="2"/>
    <x v="1"/>
    <n v="0.18"/>
    <n v="0.19700000000000001"/>
    <x v="0"/>
    <n v="0.55000000000000004"/>
    <x v="1"/>
    <n v="0.1343"/>
    <x v="0"/>
    <x v="5"/>
    <x v="66"/>
    <x v="80"/>
  </r>
  <r>
    <n v="680"/>
    <d v="2011-01-31T00:00:00"/>
    <x v="0"/>
    <x v="0"/>
    <x v="0"/>
    <x v="15"/>
    <x v="0"/>
    <n v="1"/>
    <x v="2"/>
    <n v="2"/>
    <x v="1"/>
    <n v="0.16"/>
    <n v="0.18179999999999999"/>
    <x v="0"/>
    <n v="0.59"/>
    <x v="1"/>
    <n v="0.1343"/>
    <x v="0"/>
    <x v="0"/>
    <x v="40"/>
    <x v="40"/>
  </r>
  <r>
    <n v="681"/>
    <d v="2011-01-31T00:00:00"/>
    <x v="0"/>
    <x v="0"/>
    <x v="0"/>
    <x v="16"/>
    <x v="0"/>
    <n v="1"/>
    <x v="2"/>
    <n v="2"/>
    <x v="1"/>
    <n v="0.16"/>
    <n v="0.18179999999999999"/>
    <x v="0"/>
    <n v="0.56000000000000005"/>
    <x v="1"/>
    <n v="0.19400000000000001"/>
    <x v="0"/>
    <x v="0"/>
    <x v="93"/>
    <x v="80"/>
  </r>
  <r>
    <n v="682"/>
    <d v="2011-01-31T00:00:00"/>
    <x v="0"/>
    <x v="0"/>
    <x v="0"/>
    <x v="17"/>
    <x v="0"/>
    <n v="1"/>
    <x v="2"/>
    <n v="2"/>
    <x v="1"/>
    <n v="0.16"/>
    <n v="0.1515"/>
    <x v="0"/>
    <n v="0.59"/>
    <x v="1"/>
    <n v="0.19400000000000001"/>
    <x v="0"/>
    <x v="15"/>
    <x v="119"/>
    <x v="143"/>
  </r>
  <r>
    <n v="683"/>
    <d v="2011-01-31T00:00:00"/>
    <x v="0"/>
    <x v="0"/>
    <x v="0"/>
    <x v="18"/>
    <x v="0"/>
    <n v="1"/>
    <x v="2"/>
    <n v="2"/>
    <x v="1"/>
    <n v="0.16"/>
    <n v="0.1515"/>
    <x v="0"/>
    <n v="0.55000000000000004"/>
    <x v="1"/>
    <n v="0.22389999999999999"/>
    <x v="1"/>
    <x v="0"/>
    <x v="37"/>
    <x v="167"/>
  </r>
  <r>
    <n v="684"/>
    <d v="2011-01-31T00:00:00"/>
    <x v="0"/>
    <x v="0"/>
    <x v="0"/>
    <x v="19"/>
    <x v="0"/>
    <n v="1"/>
    <x v="2"/>
    <n v="1"/>
    <x v="0"/>
    <n v="0.3"/>
    <n v="0.31819999999999998"/>
    <x v="1"/>
    <n v="0.61"/>
    <x v="1"/>
    <n v="0.1045"/>
    <x v="0"/>
    <x v="0"/>
    <x v="123"/>
    <x v="168"/>
  </r>
  <r>
    <n v="685"/>
    <d v="2011-01-31T00:00:00"/>
    <x v="0"/>
    <x v="0"/>
    <x v="0"/>
    <x v="20"/>
    <x v="0"/>
    <n v="1"/>
    <x v="2"/>
    <n v="3"/>
    <x v="2"/>
    <n v="0.16"/>
    <n v="0.16669999999999999"/>
    <x v="0"/>
    <n v="0.59"/>
    <x v="1"/>
    <n v="0.16420000000000001"/>
    <x v="0"/>
    <x v="3"/>
    <x v="78"/>
    <x v="53"/>
  </r>
  <r>
    <n v="686"/>
    <d v="2011-01-31T00:00:00"/>
    <x v="0"/>
    <x v="0"/>
    <x v="0"/>
    <x v="21"/>
    <x v="0"/>
    <n v="1"/>
    <x v="2"/>
    <n v="3"/>
    <x v="2"/>
    <n v="0.16"/>
    <n v="0.19700000000000001"/>
    <x v="0"/>
    <n v="0.59"/>
    <x v="1"/>
    <n v="8.9599999999999999E-2"/>
    <x v="0"/>
    <x v="0"/>
    <x v="42"/>
    <x v="10"/>
  </r>
  <r>
    <n v="687"/>
    <d v="2011-01-31T00:00:00"/>
    <x v="0"/>
    <x v="0"/>
    <x v="0"/>
    <x v="22"/>
    <x v="0"/>
    <n v="1"/>
    <x v="2"/>
    <n v="2"/>
    <x v="1"/>
    <n v="0.16"/>
    <n v="0.18179999999999999"/>
    <x v="0"/>
    <n v="0.59"/>
    <x v="1"/>
    <n v="0.1045"/>
    <x v="0"/>
    <x v="3"/>
    <x v="60"/>
    <x v="19"/>
  </r>
  <r>
    <n v="688"/>
    <d v="2011-01-31T00:00:00"/>
    <x v="0"/>
    <x v="0"/>
    <x v="0"/>
    <x v="23"/>
    <x v="0"/>
    <n v="1"/>
    <x v="2"/>
    <n v="2"/>
    <x v="1"/>
    <n v="0.16"/>
    <n v="0.19700000000000001"/>
    <x v="0"/>
    <n v="0.64"/>
    <x v="1"/>
    <n v="8.9599999999999999E-2"/>
    <x v="0"/>
    <x v="4"/>
    <x v="89"/>
    <x v="22"/>
  </r>
  <r>
    <n v="689"/>
    <d v="2011-02-01T00:00:00"/>
    <x v="0"/>
    <x v="0"/>
    <x v="1"/>
    <x v="0"/>
    <x v="0"/>
    <n v="2"/>
    <x v="3"/>
    <n v="2"/>
    <x v="1"/>
    <n v="0.16"/>
    <n v="0.18179999999999999"/>
    <x v="0"/>
    <n v="0.64"/>
    <x v="1"/>
    <n v="0.1045"/>
    <x v="0"/>
    <x v="4"/>
    <x v="8"/>
    <x v="7"/>
  </r>
  <r>
    <n v="690"/>
    <d v="2011-02-01T00:00:00"/>
    <x v="0"/>
    <x v="0"/>
    <x v="1"/>
    <x v="1"/>
    <x v="0"/>
    <n v="2"/>
    <x v="3"/>
    <n v="2"/>
    <x v="1"/>
    <n v="0.16"/>
    <n v="0.18179999999999999"/>
    <x v="0"/>
    <n v="0.69"/>
    <x v="1"/>
    <n v="0.1045"/>
    <x v="0"/>
    <x v="3"/>
    <x v="35"/>
    <x v="6"/>
  </r>
  <r>
    <n v="691"/>
    <d v="2011-02-01T00:00:00"/>
    <x v="0"/>
    <x v="0"/>
    <x v="1"/>
    <x v="2"/>
    <x v="0"/>
    <n v="2"/>
    <x v="3"/>
    <n v="2"/>
    <x v="1"/>
    <n v="0.16"/>
    <n v="0.2273"/>
    <x v="0"/>
    <n v="0.69"/>
    <x v="1"/>
    <n v="0"/>
    <x v="0"/>
    <x v="3"/>
    <x v="6"/>
    <x v="5"/>
  </r>
  <r>
    <n v="692"/>
    <d v="2011-02-01T00:00:00"/>
    <x v="0"/>
    <x v="0"/>
    <x v="1"/>
    <x v="3"/>
    <x v="0"/>
    <n v="2"/>
    <x v="3"/>
    <n v="2"/>
    <x v="1"/>
    <n v="0.16"/>
    <n v="0.2273"/>
    <x v="0"/>
    <n v="0.69"/>
    <x v="1"/>
    <n v="0"/>
    <x v="0"/>
    <x v="3"/>
    <x v="6"/>
    <x v="5"/>
  </r>
  <r>
    <n v="693"/>
    <d v="2011-02-01T00:00:00"/>
    <x v="0"/>
    <x v="0"/>
    <x v="1"/>
    <x v="5"/>
    <x v="0"/>
    <n v="2"/>
    <x v="3"/>
    <n v="3"/>
    <x v="2"/>
    <n v="0.14000000000000001"/>
    <n v="0.21210000000000001"/>
    <x v="0"/>
    <n v="0.93"/>
    <x v="0"/>
    <n v="0"/>
    <x v="0"/>
    <x v="3"/>
    <x v="35"/>
    <x v="6"/>
  </r>
  <r>
    <n v="694"/>
    <d v="2011-02-01T00:00:00"/>
    <x v="0"/>
    <x v="0"/>
    <x v="1"/>
    <x v="6"/>
    <x v="0"/>
    <n v="2"/>
    <x v="3"/>
    <n v="3"/>
    <x v="2"/>
    <n v="0.14000000000000001"/>
    <n v="0.21210000000000001"/>
    <x v="0"/>
    <n v="0.93"/>
    <x v="0"/>
    <n v="0"/>
    <x v="0"/>
    <x v="3"/>
    <x v="97"/>
    <x v="34"/>
  </r>
  <r>
    <n v="695"/>
    <d v="2011-02-01T00:00:00"/>
    <x v="0"/>
    <x v="0"/>
    <x v="1"/>
    <x v="7"/>
    <x v="0"/>
    <n v="2"/>
    <x v="3"/>
    <n v="3"/>
    <x v="2"/>
    <n v="0.16"/>
    <n v="0.2273"/>
    <x v="0"/>
    <n v="0.93"/>
    <x v="0"/>
    <n v="0"/>
    <x v="0"/>
    <x v="3"/>
    <x v="15"/>
    <x v="46"/>
  </r>
  <r>
    <n v="696"/>
    <d v="2011-02-01T00:00:00"/>
    <x v="0"/>
    <x v="0"/>
    <x v="1"/>
    <x v="8"/>
    <x v="0"/>
    <n v="2"/>
    <x v="3"/>
    <n v="3"/>
    <x v="2"/>
    <n v="0.16"/>
    <n v="0.2273"/>
    <x v="0"/>
    <n v="0.93"/>
    <x v="0"/>
    <n v="0"/>
    <x v="0"/>
    <x v="0"/>
    <x v="126"/>
    <x v="169"/>
  </r>
  <r>
    <n v="697"/>
    <d v="2011-02-01T00:00:00"/>
    <x v="0"/>
    <x v="0"/>
    <x v="1"/>
    <x v="9"/>
    <x v="0"/>
    <n v="2"/>
    <x v="3"/>
    <n v="2"/>
    <x v="1"/>
    <n v="0.16"/>
    <n v="0.2273"/>
    <x v="0"/>
    <n v="0.93"/>
    <x v="0"/>
    <n v="0"/>
    <x v="0"/>
    <x v="4"/>
    <x v="156"/>
    <x v="155"/>
  </r>
  <r>
    <n v="698"/>
    <d v="2011-02-01T00:00:00"/>
    <x v="0"/>
    <x v="0"/>
    <x v="1"/>
    <x v="10"/>
    <x v="0"/>
    <n v="2"/>
    <x v="3"/>
    <n v="2"/>
    <x v="1"/>
    <n v="0.16"/>
    <n v="0.2273"/>
    <x v="0"/>
    <n v="0.93"/>
    <x v="0"/>
    <n v="0"/>
    <x v="0"/>
    <x v="3"/>
    <x v="12"/>
    <x v="105"/>
  </r>
  <r>
    <n v="699"/>
    <d v="2011-02-01T00:00:00"/>
    <x v="0"/>
    <x v="0"/>
    <x v="1"/>
    <x v="11"/>
    <x v="0"/>
    <n v="2"/>
    <x v="3"/>
    <n v="2"/>
    <x v="1"/>
    <n v="0.18"/>
    <n v="0.2424"/>
    <x v="0"/>
    <n v="0.86"/>
    <x v="0"/>
    <n v="0"/>
    <x v="0"/>
    <x v="4"/>
    <x v="47"/>
    <x v="41"/>
  </r>
  <r>
    <n v="700"/>
    <d v="2011-02-01T00:00:00"/>
    <x v="0"/>
    <x v="0"/>
    <x v="1"/>
    <x v="12"/>
    <x v="0"/>
    <n v="2"/>
    <x v="3"/>
    <n v="2"/>
    <x v="1"/>
    <n v="0.2"/>
    <n v="0.2576"/>
    <x v="0"/>
    <n v="0.86"/>
    <x v="0"/>
    <n v="0"/>
    <x v="0"/>
    <x v="4"/>
    <x v="42"/>
    <x v="97"/>
  </r>
  <r>
    <n v="701"/>
    <d v="2011-02-01T00:00:00"/>
    <x v="0"/>
    <x v="0"/>
    <x v="1"/>
    <x v="13"/>
    <x v="0"/>
    <n v="2"/>
    <x v="3"/>
    <n v="2"/>
    <x v="1"/>
    <n v="0.2"/>
    <n v="0.2576"/>
    <x v="0"/>
    <n v="0.86"/>
    <x v="0"/>
    <n v="0"/>
    <x v="0"/>
    <x v="0"/>
    <x v="47"/>
    <x v="46"/>
  </r>
  <r>
    <n v="702"/>
    <d v="2011-02-01T00:00:00"/>
    <x v="0"/>
    <x v="0"/>
    <x v="1"/>
    <x v="14"/>
    <x v="0"/>
    <n v="2"/>
    <x v="3"/>
    <n v="2"/>
    <x v="1"/>
    <n v="0.22"/>
    <n v="0.2576"/>
    <x v="0"/>
    <n v="0.8"/>
    <x v="0"/>
    <n v="8.9599999999999999E-2"/>
    <x v="0"/>
    <x v="2"/>
    <x v="47"/>
    <x v="60"/>
  </r>
  <r>
    <n v="703"/>
    <d v="2011-02-01T00:00:00"/>
    <x v="0"/>
    <x v="0"/>
    <x v="1"/>
    <x v="15"/>
    <x v="0"/>
    <n v="2"/>
    <x v="3"/>
    <n v="2"/>
    <x v="1"/>
    <n v="0.24"/>
    <n v="0.28789999999999999"/>
    <x v="0"/>
    <n v="0.75"/>
    <x v="0"/>
    <n v="0"/>
    <x v="0"/>
    <x v="18"/>
    <x v="108"/>
    <x v="46"/>
  </r>
  <r>
    <n v="704"/>
    <d v="2011-02-01T00:00:00"/>
    <x v="0"/>
    <x v="0"/>
    <x v="1"/>
    <x v="16"/>
    <x v="0"/>
    <n v="2"/>
    <x v="3"/>
    <n v="2"/>
    <x v="1"/>
    <n v="0.24"/>
    <n v="0.2424"/>
    <x v="0"/>
    <n v="0.75"/>
    <x v="0"/>
    <n v="0.1343"/>
    <x v="0"/>
    <x v="0"/>
    <x v="124"/>
    <x v="37"/>
  </r>
  <r>
    <n v="705"/>
    <d v="2011-02-01T00:00:00"/>
    <x v="0"/>
    <x v="0"/>
    <x v="1"/>
    <x v="17"/>
    <x v="0"/>
    <n v="2"/>
    <x v="3"/>
    <n v="2"/>
    <x v="1"/>
    <n v="0.24"/>
    <n v="0.28789999999999999"/>
    <x v="0"/>
    <n v="0.75"/>
    <x v="0"/>
    <n v="0"/>
    <x v="0"/>
    <x v="17"/>
    <x v="157"/>
    <x v="170"/>
  </r>
  <r>
    <n v="706"/>
    <d v="2011-02-01T00:00:00"/>
    <x v="0"/>
    <x v="0"/>
    <x v="1"/>
    <x v="18"/>
    <x v="0"/>
    <n v="2"/>
    <x v="3"/>
    <n v="2"/>
    <x v="1"/>
    <n v="0.24"/>
    <n v="0.2576"/>
    <x v="0"/>
    <n v="0.81"/>
    <x v="0"/>
    <n v="0.1045"/>
    <x v="0"/>
    <x v="0"/>
    <x v="158"/>
    <x v="171"/>
  </r>
  <r>
    <n v="707"/>
    <d v="2011-02-01T00:00:00"/>
    <x v="0"/>
    <x v="0"/>
    <x v="1"/>
    <x v="19"/>
    <x v="0"/>
    <n v="2"/>
    <x v="3"/>
    <n v="2"/>
    <x v="1"/>
    <n v="0.24"/>
    <n v="0.2424"/>
    <x v="0"/>
    <n v="0.81"/>
    <x v="0"/>
    <n v="0.1343"/>
    <x v="0"/>
    <x v="0"/>
    <x v="159"/>
    <x v="159"/>
  </r>
  <r>
    <n v="708"/>
    <d v="2011-02-01T00:00:00"/>
    <x v="0"/>
    <x v="0"/>
    <x v="1"/>
    <x v="20"/>
    <x v="0"/>
    <n v="2"/>
    <x v="3"/>
    <n v="2"/>
    <x v="1"/>
    <n v="0.22"/>
    <n v="0.2273"/>
    <x v="0"/>
    <n v="0.87"/>
    <x v="0"/>
    <n v="0.1343"/>
    <x v="0"/>
    <x v="2"/>
    <x v="94"/>
    <x v="30"/>
  </r>
  <r>
    <n v="709"/>
    <d v="2011-02-01T00:00:00"/>
    <x v="0"/>
    <x v="0"/>
    <x v="1"/>
    <x v="21"/>
    <x v="0"/>
    <n v="2"/>
    <x v="3"/>
    <n v="2"/>
    <x v="1"/>
    <n v="0.22"/>
    <n v="0.2273"/>
    <x v="0"/>
    <n v="0.87"/>
    <x v="0"/>
    <n v="0.1343"/>
    <x v="0"/>
    <x v="3"/>
    <x v="27"/>
    <x v="37"/>
  </r>
  <r>
    <n v="710"/>
    <d v="2011-02-01T00:00:00"/>
    <x v="0"/>
    <x v="0"/>
    <x v="1"/>
    <x v="22"/>
    <x v="0"/>
    <n v="2"/>
    <x v="3"/>
    <n v="2"/>
    <x v="1"/>
    <n v="0.22"/>
    <n v="0.2576"/>
    <x v="0"/>
    <n v="0.87"/>
    <x v="0"/>
    <n v="8.9599999999999999E-2"/>
    <x v="0"/>
    <x v="4"/>
    <x v="60"/>
    <x v="9"/>
  </r>
  <r>
    <n v="711"/>
    <d v="2011-02-01T00:00:00"/>
    <x v="0"/>
    <x v="0"/>
    <x v="1"/>
    <x v="23"/>
    <x v="0"/>
    <n v="2"/>
    <x v="3"/>
    <n v="3"/>
    <x v="2"/>
    <n v="0.2"/>
    <n v="0.19700000000000001"/>
    <x v="0"/>
    <n v="0.93"/>
    <x v="0"/>
    <n v="0.19400000000000001"/>
    <x v="0"/>
    <x v="5"/>
    <x v="89"/>
    <x v="0"/>
  </r>
  <r>
    <n v="712"/>
    <d v="2011-02-02T00:00:00"/>
    <x v="0"/>
    <x v="0"/>
    <x v="1"/>
    <x v="0"/>
    <x v="0"/>
    <n v="3"/>
    <x v="4"/>
    <n v="3"/>
    <x v="2"/>
    <n v="0.22"/>
    <n v="0.2424"/>
    <x v="0"/>
    <n v="0.93"/>
    <x v="0"/>
    <n v="0.1045"/>
    <x v="0"/>
    <x v="3"/>
    <x v="6"/>
    <x v="5"/>
  </r>
  <r>
    <n v="713"/>
    <d v="2011-02-02T00:00:00"/>
    <x v="0"/>
    <x v="0"/>
    <x v="1"/>
    <x v="1"/>
    <x v="0"/>
    <n v="3"/>
    <x v="4"/>
    <n v="3"/>
    <x v="2"/>
    <n v="0.22"/>
    <n v="0.2273"/>
    <x v="0"/>
    <n v="0.93"/>
    <x v="0"/>
    <n v="0.19400000000000001"/>
    <x v="0"/>
    <x v="3"/>
    <x v="35"/>
    <x v="6"/>
  </r>
  <r>
    <n v="714"/>
    <d v="2011-02-02T00:00:00"/>
    <x v="0"/>
    <x v="0"/>
    <x v="1"/>
    <x v="2"/>
    <x v="0"/>
    <n v="3"/>
    <x v="4"/>
    <n v="3"/>
    <x v="2"/>
    <n v="0.22"/>
    <n v="0.2273"/>
    <x v="0"/>
    <n v="0.93"/>
    <x v="0"/>
    <n v="0.1343"/>
    <x v="0"/>
    <x v="17"/>
    <x v="5"/>
    <x v="48"/>
  </r>
  <r>
    <n v="715"/>
    <d v="2011-02-02T00:00:00"/>
    <x v="0"/>
    <x v="0"/>
    <x v="1"/>
    <x v="3"/>
    <x v="0"/>
    <n v="3"/>
    <x v="4"/>
    <n v="3"/>
    <x v="2"/>
    <n v="0.22"/>
    <n v="0.2273"/>
    <x v="0"/>
    <n v="0.93"/>
    <x v="0"/>
    <n v="0.1343"/>
    <x v="0"/>
    <x v="3"/>
    <x v="4"/>
    <x v="4"/>
  </r>
  <r>
    <n v="716"/>
    <d v="2011-02-02T00:00:00"/>
    <x v="0"/>
    <x v="0"/>
    <x v="1"/>
    <x v="4"/>
    <x v="0"/>
    <n v="3"/>
    <x v="4"/>
    <n v="3"/>
    <x v="2"/>
    <n v="0.22"/>
    <n v="0.21210000000000001"/>
    <x v="0"/>
    <n v="0.93"/>
    <x v="0"/>
    <n v="0.28360000000000002"/>
    <x v="1"/>
    <x v="3"/>
    <x v="4"/>
    <x v="4"/>
  </r>
  <r>
    <n v="717"/>
    <d v="2011-02-02T00:00:00"/>
    <x v="0"/>
    <x v="0"/>
    <x v="1"/>
    <x v="5"/>
    <x v="0"/>
    <n v="3"/>
    <x v="4"/>
    <n v="3"/>
    <x v="2"/>
    <n v="0.22"/>
    <n v="0.2424"/>
    <x v="0"/>
    <n v="0.93"/>
    <x v="0"/>
    <n v="0.1045"/>
    <x v="0"/>
    <x v="3"/>
    <x v="35"/>
    <x v="6"/>
  </r>
  <r>
    <n v="718"/>
    <d v="2011-02-02T00:00:00"/>
    <x v="0"/>
    <x v="0"/>
    <x v="1"/>
    <x v="6"/>
    <x v="0"/>
    <n v="3"/>
    <x v="4"/>
    <n v="3"/>
    <x v="2"/>
    <n v="0.22"/>
    <n v="0.2424"/>
    <x v="0"/>
    <n v="0.93"/>
    <x v="0"/>
    <n v="0.1045"/>
    <x v="0"/>
    <x v="5"/>
    <x v="19"/>
    <x v="109"/>
  </r>
  <r>
    <n v="719"/>
    <d v="2011-02-02T00:00:00"/>
    <x v="0"/>
    <x v="0"/>
    <x v="1"/>
    <x v="7"/>
    <x v="0"/>
    <n v="3"/>
    <x v="4"/>
    <n v="3"/>
    <x v="2"/>
    <n v="0.22"/>
    <n v="0.21210000000000001"/>
    <x v="0"/>
    <n v="0.93"/>
    <x v="0"/>
    <n v="0.22389999999999999"/>
    <x v="1"/>
    <x v="5"/>
    <x v="41"/>
    <x v="99"/>
  </r>
  <r>
    <n v="720"/>
    <d v="2011-02-02T00:00:00"/>
    <x v="0"/>
    <x v="0"/>
    <x v="1"/>
    <x v="8"/>
    <x v="0"/>
    <n v="3"/>
    <x v="4"/>
    <n v="3"/>
    <x v="2"/>
    <n v="0.22"/>
    <n v="0.21210000000000001"/>
    <x v="0"/>
    <n v="0.93"/>
    <x v="0"/>
    <n v="0.22389999999999999"/>
    <x v="1"/>
    <x v="5"/>
    <x v="105"/>
    <x v="107"/>
  </r>
  <r>
    <n v="721"/>
    <d v="2011-02-02T00:00:00"/>
    <x v="0"/>
    <x v="0"/>
    <x v="1"/>
    <x v="9"/>
    <x v="0"/>
    <n v="3"/>
    <x v="4"/>
    <n v="2"/>
    <x v="1"/>
    <n v="0.24"/>
    <n v="0.2576"/>
    <x v="0"/>
    <n v="0.93"/>
    <x v="0"/>
    <n v="8.9599999999999999E-2"/>
    <x v="0"/>
    <x v="17"/>
    <x v="138"/>
    <x v="92"/>
  </r>
  <r>
    <n v="722"/>
    <d v="2011-02-02T00:00:00"/>
    <x v="0"/>
    <x v="0"/>
    <x v="1"/>
    <x v="10"/>
    <x v="0"/>
    <n v="3"/>
    <x v="4"/>
    <n v="2"/>
    <x v="1"/>
    <n v="0.22"/>
    <n v="0.2727"/>
    <x v="0"/>
    <n v="1"/>
    <x v="0"/>
    <n v="0"/>
    <x v="0"/>
    <x v="4"/>
    <x v="79"/>
    <x v="42"/>
  </r>
  <r>
    <n v="723"/>
    <d v="2011-02-02T00:00:00"/>
    <x v="0"/>
    <x v="0"/>
    <x v="1"/>
    <x v="11"/>
    <x v="0"/>
    <n v="3"/>
    <x v="4"/>
    <n v="2"/>
    <x v="1"/>
    <n v="0.24"/>
    <n v="0.2273"/>
    <x v="0"/>
    <n v="0.93"/>
    <x v="0"/>
    <n v="0.19400000000000001"/>
    <x v="0"/>
    <x v="2"/>
    <x v="12"/>
    <x v="46"/>
  </r>
  <r>
    <n v="724"/>
    <d v="2011-02-02T00:00:00"/>
    <x v="0"/>
    <x v="0"/>
    <x v="1"/>
    <x v="12"/>
    <x v="0"/>
    <n v="3"/>
    <x v="4"/>
    <n v="2"/>
    <x v="1"/>
    <n v="0.24"/>
    <n v="0.2273"/>
    <x v="0"/>
    <n v="0.93"/>
    <x v="0"/>
    <n v="0.22389999999999999"/>
    <x v="1"/>
    <x v="0"/>
    <x v="124"/>
    <x v="37"/>
  </r>
  <r>
    <n v="725"/>
    <d v="2011-02-02T00:00:00"/>
    <x v="0"/>
    <x v="0"/>
    <x v="1"/>
    <x v="13"/>
    <x v="0"/>
    <n v="3"/>
    <x v="4"/>
    <n v="1"/>
    <x v="0"/>
    <n v="0.34"/>
    <n v="0.33329999999999999"/>
    <x v="1"/>
    <n v="0.93"/>
    <x v="0"/>
    <n v="0.16420000000000001"/>
    <x v="0"/>
    <x v="5"/>
    <x v="64"/>
    <x v="28"/>
  </r>
  <r>
    <n v="726"/>
    <d v="2011-02-02T00:00:00"/>
    <x v="0"/>
    <x v="0"/>
    <x v="1"/>
    <x v="14"/>
    <x v="0"/>
    <n v="3"/>
    <x v="4"/>
    <n v="1"/>
    <x v="0"/>
    <n v="0.38"/>
    <n v="0.39389999999999997"/>
    <x v="1"/>
    <n v="0.82"/>
    <x v="0"/>
    <n v="0.3881"/>
    <x v="1"/>
    <x v="4"/>
    <x v="124"/>
    <x v="55"/>
  </r>
  <r>
    <n v="727"/>
    <d v="2011-02-02T00:00:00"/>
    <x v="0"/>
    <x v="0"/>
    <x v="1"/>
    <x v="15"/>
    <x v="0"/>
    <n v="3"/>
    <x v="4"/>
    <n v="1"/>
    <x v="0"/>
    <n v="0.38"/>
    <n v="0.39389999999999997"/>
    <x v="1"/>
    <n v="0.76"/>
    <x v="0"/>
    <n v="0.32840000000000003"/>
    <x v="1"/>
    <x v="22"/>
    <x v="43"/>
    <x v="31"/>
  </r>
  <r>
    <n v="728"/>
    <d v="2011-02-02T00:00:00"/>
    <x v="0"/>
    <x v="0"/>
    <x v="1"/>
    <x v="16"/>
    <x v="0"/>
    <n v="3"/>
    <x v="4"/>
    <n v="1"/>
    <x v="0"/>
    <n v="0.36"/>
    <n v="0.33329999999999999"/>
    <x v="1"/>
    <n v="0.71"/>
    <x v="0"/>
    <n v="0.29849999999999999"/>
    <x v="1"/>
    <x v="1"/>
    <x v="73"/>
    <x v="153"/>
  </r>
  <r>
    <n v="729"/>
    <d v="2011-02-02T00:00:00"/>
    <x v="0"/>
    <x v="0"/>
    <x v="1"/>
    <x v="17"/>
    <x v="0"/>
    <n v="3"/>
    <x v="4"/>
    <n v="1"/>
    <x v="0"/>
    <n v="0.36"/>
    <n v="0.31819999999999998"/>
    <x v="1"/>
    <n v="0.53"/>
    <x v="1"/>
    <n v="0.52239999999999998"/>
    <x v="2"/>
    <x v="18"/>
    <x v="160"/>
    <x v="71"/>
  </r>
  <r>
    <n v="730"/>
    <d v="2011-02-02T00:00:00"/>
    <x v="0"/>
    <x v="0"/>
    <x v="1"/>
    <x v="18"/>
    <x v="0"/>
    <n v="3"/>
    <x v="4"/>
    <n v="1"/>
    <x v="0"/>
    <n v="0.34"/>
    <n v="0.28789999999999999"/>
    <x v="0"/>
    <n v="0.42"/>
    <x v="1"/>
    <n v="0.55220000000000002"/>
    <x v="2"/>
    <x v="18"/>
    <x v="161"/>
    <x v="58"/>
  </r>
  <r>
    <n v="731"/>
    <d v="2011-02-02T00:00:00"/>
    <x v="0"/>
    <x v="0"/>
    <x v="1"/>
    <x v="19"/>
    <x v="0"/>
    <n v="3"/>
    <x v="4"/>
    <n v="1"/>
    <x v="0"/>
    <n v="0.28000000000000003"/>
    <n v="0.2424"/>
    <x v="0"/>
    <n v="0.45"/>
    <x v="1"/>
    <n v="0.49249999999999999"/>
    <x v="1"/>
    <x v="0"/>
    <x v="152"/>
    <x v="134"/>
  </r>
  <r>
    <n v="732"/>
    <d v="2011-02-02T00:00:00"/>
    <x v="0"/>
    <x v="0"/>
    <x v="1"/>
    <x v="20"/>
    <x v="0"/>
    <n v="3"/>
    <x v="4"/>
    <n v="1"/>
    <x v="0"/>
    <n v="0.24"/>
    <n v="0.19700000000000001"/>
    <x v="0"/>
    <n v="0.48"/>
    <x v="1"/>
    <n v="0.55220000000000002"/>
    <x v="2"/>
    <x v="17"/>
    <x v="13"/>
    <x v="28"/>
  </r>
  <r>
    <n v="733"/>
    <d v="2011-02-02T00:00:00"/>
    <x v="0"/>
    <x v="0"/>
    <x v="1"/>
    <x v="21"/>
    <x v="0"/>
    <n v="3"/>
    <x v="4"/>
    <n v="1"/>
    <x v="0"/>
    <n v="0.22"/>
    <n v="0.19700000000000001"/>
    <x v="0"/>
    <n v="0.47"/>
    <x v="1"/>
    <n v="0.32840000000000003"/>
    <x v="1"/>
    <x v="5"/>
    <x v="133"/>
    <x v="55"/>
  </r>
  <r>
    <n v="734"/>
    <d v="2011-02-02T00:00:00"/>
    <x v="0"/>
    <x v="0"/>
    <x v="1"/>
    <x v="22"/>
    <x v="0"/>
    <n v="3"/>
    <x v="4"/>
    <n v="1"/>
    <x v="0"/>
    <n v="0.22"/>
    <n v="0.21210000000000001"/>
    <x v="0"/>
    <n v="0.44"/>
    <x v="1"/>
    <n v="0.25369999999999998"/>
    <x v="1"/>
    <x v="2"/>
    <x v="96"/>
    <x v="1"/>
  </r>
  <r>
    <n v="735"/>
    <d v="2011-02-02T00:00:00"/>
    <x v="0"/>
    <x v="0"/>
    <x v="1"/>
    <x v="23"/>
    <x v="0"/>
    <n v="3"/>
    <x v="4"/>
    <n v="1"/>
    <x v="0"/>
    <n v="0.2"/>
    <n v="0.16669999999999999"/>
    <x v="0"/>
    <n v="0.44"/>
    <x v="1"/>
    <n v="0.44779999999999998"/>
    <x v="1"/>
    <x v="0"/>
    <x v="31"/>
    <x v="2"/>
  </r>
  <r>
    <n v="736"/>
    <d v="2011-02-03T00:00:00"/>
    <x v="0"/>
    <x v="0"/>
    <x v="1"/>
    <x v="0"/>
    <x v="0"/>
    <n v="4"/>
    <x v="5"/>
    <n v="1"/>
    <x v="0"/>
    <n v="0.2"/>
    <n v="0.16669999999999999"/>
    <x v="0"/>
    <n v="0.4"/>
    <x v="1"/>
    <n v="0.44779999999999998"/>
    <x v="1"/>
    <x v="5"/>
    <x v="48"/>
    <x v="47"/>
  </r>
  <r>
    <n v="737"/>
    <d v="2011-02-03T00:00:00"/>
    <x v="0"/>
    <x v="0"/>
    <x v="1"/>
    <x v="1"/>
    <x v="0"/>
    <n v="4"/>
    <x v="5"/>
    <n v="1"/>
    <x v="0"/>
    <n v="0.2"/>
    <n v="0.1515"/>
    <x v="0"/>
    <n v="0.44"/>
    <x v="1"/>
    <n v="0.52239999999999998"/>
    <x v="2"/>
    <x v="3"/>
    <x v="34"/>
    <x v="36"/>
  </r>
  <r>
    <n v="738"/>
    <d v="2011-02-03T00:00:00"/>
    <x v="0"/>
    <x v="0"/>
    <x v="1"/>
    <x v="2"/>
    <x v="0"/>
    <n v="4"/>
    <x v="5"/>
    <n v="1"/>
    <x v="0"/>
    <n v="0.18"/>
    <n v="0.16669999999999999"/>
    <x v="0"/>
    <n v="0.43"/>
    <x v="1"/>
    <n v="0.25369999999999998"/>
    <x v="1"/>
    <x v="3"/>
    <x v="6"/>
    <x v="5"/>
  </r>
  <r>
    <n v="739"/>
    <d v="2011-02-03T00:00:00"/>
    <x v="0"/>
    <x v="0"/>
    <x v="1"/>
    <x v="3"/>
    <x v="0"/>
    <n v="4"/>
    <x v="5"/>
    <n v="1"/>
    <x v="0"/>
    <n v="0.18"/>
    <n v="0.16669999999999999"/>
    <x v="0"/>
    <n v="0.43"/>
    <x v="1"/>
    <n v="0.25369999999999998"/>
    <x v="1"/>
    <x v="3"/>
    <x v="4"/>
    <x v="4"/>
  </r>
  <r>
    <n v="740"/>
    <d v="2011-02-03T00:00:00"/>
    <x v="0"/>
    <x v="0"/>
    <x v="1"/>
    <x v="5"/>
    <x v="0"/>
    <n v="4"/>
    <x v="5"/>
    <n v="1"/>
    <x v="0"/>
    <n v="0.16"/>
    <n v="0.13639999999999999"/>
    <x v="0"/>
    <n v="0.5"/>
    <x v="1"/>
    <n v="0.29849999999999999"/>
    <x v="1"/>
    <x v="3"/>
    <x v="6"/>
    <x v="5"/>
  </r>
  <r>
    <n v="741"/>
    <d v="2011-02-03T00:00:00"/>
    <x v="0"/>
    <x v="0"/>
    <x v="1"/>
    <x v="6"/>
    <x v="0"/>
    <n v="4"/>
    <x v="5"/>
    <n v="1"/>
    <x v="0"/>
    <n v="0.16"/>
    <n v="0.13639999999999999"/>
    <x v="0"/>
    <n v="0.43"/>
    <x v="1"/>
    <n v="0.35820000000000002"/>
    <x v="1"/>
    <x v="3"/>
    <x v="87"/>
    <x v="21"/>
  </r>
  <r>
    <n v="742"/>
    <d v="2011-02-03T00:00:00"/>
    <x v="0"/>
    <x v="0"/>
    <x v="1"/>
    <x v="7"/>
    <x v="0"/>
    <n v="4"/>
    <x v="5"/>
    <n v="1"/>
    <x v="0"/>
    <n v="0.14000000000000001"/>
    <n v="0.1212"/>
    <x v="0"/>
    <n v="0.5"/>
    <x v="1"/>
    <n v="0.32840000000000003"/>
    <x v="1"/>
    <x v="5"/>
    <x v="132"/>
    <x v="90"/>
  </r>
  <r>
    <n v="743"/>
    <d v="2011-02-03T00:00:00"/>
    <x v="0"/>
    <x v="0"/>
    <x v="1"/>
    <x v="8"/>
    <x v="0"/>
    <n v="4"/>
    <x v="5"/>
    <n v="1"/>
    <x v="0"/>
    <n v="0.14000000000000001"/>
    <n v="0.1212"/>
    <x v="0"/>
    <n v="0.5"/>
    <x v="1"/>
    <n v="0.35820000000000002"/>
    <x v="1"/>
    <x v="17"/>
    <x v="103"/>
    <x v="104"/>
  </r>
  <r>
    <n v="744"/>
    <d v="2011-02-03T00:00:00"/>
    <x v="0"/>
    <x v="0"/>
    <x v="1"/>
    <x v="9"/>
    <x v="0"/>
    <n v="4"/>
    <x v="5"/>
    <n v="1"/>
    <x v="0"/>
    <n v="0.16"/>
    <n v="0.13639999999999999"/>
    <x v="0"/>
    <n v="0.47"/>
    <x v="1"/>
    <n v="0.29849999999999999"/>
    <x v="1"/>
    <x v="15"/>
    <x v="69"/>
    <x v="140"/>
  </r>
  <r>
    <n v="745"/>
    <d v="2011-02-03T00:00:00"/>
    <x v="0"/>
    <x v="0"/>
    <x v="1"/>
    <x v="10"/>
    <x v="0"/>
    <n v="4"/>
    <x v="5"/>
    <n v="1"/>
    <x v="0"/>
    <n v="0.18"/>
    <n v="0.1515"/>
    <x v="0"/>
    <n v="0.43"/>
    <x v="1"/>
    <n v="0.32840000000000003"/>
    <x v="1"/>
    <x v="4"/>
    <x v="54"/>
    <x v="46"/>
  </r>
  <r>
    <n v="746"/>
    <d v="2011-02-03T00:00:00"/>
    <x v="0"/>
    <x v="0"/>
    <x v="1"/>
    <x v="11"/>
    <x v="0"/>
    <n v="4"/>
    <x v="5"/>
    <n v="1"/>
    <x v="0"/>
    <n v="0.18"/>
    <n v="0.13639999999999999"/>
    <x v="0"/>
    <n v="0.43"/>
    <x v="1"/>
    <n v="0.44779999999999998"/>
    <x v="1"/>
    <x v="14"/>
    <x v="11"/>
    <x v="37"/>
  </r>
  <r>
    <n v="747"/>
    <d v="2011-02-03T00:00:00"/>
    <x v="0"/>
    <x v="0"/>
    <x v="1"/>
    <x v="12"/>
    <x v="0"/>
    <n v="4"/>
    <x v="5"/>
    <n v="1"/>
    <x v="0"/>
    <n v="0.2"/>
    <n v="0.18179999999999999"/>
    <x v="0"/>
    <n v="0.4"/>
    <x v="1"/>
    <n v="0.35820000000000002"/>
    <x v="1"/>
    <x v="4"/>
    <x v="28"/>
    <x v="83"/>
  </r>
  <r>
    <n v="748"/>
    <d v="2011-02-03T00:00:00"/>
    <x v="0"/>
    <x v="0"/>
    <x v="1"/>
    <x v="13"/>
    <x v="0"/>
    <n v="4"/>
    <x v="5"/>
    <n v="1"/>
    <x v="0"/>
    <n v="0.2"/>
    <n v="0.16669999999999999"/>
    <x v="0"/>
    <n v="0.4"/>
    <x v="1"/>
    <n v="0.41789999999999999"/>
    <x v="1"/>
    <x v="17"/>
    <x v="12"/>
    <x v="41"/>
  </r>
  <r>
    <n v="749"/>
    <d v="2011-02-03T00:00:00"/>
    <x v="0"/>
    <x v="0"/>
    <x v="1"/>
    <x v="14"/>
    <x v="0"/>
    <n v="4"/>
    <x v="5"/>
    <n v="1"/>
    <x v="0"/>
    <n v="0.22"/>
    <n v="0.19700000000000001"/>
    <x v="0"/>
    <n v="0.37"/>
    <x v="2"/>
    <n v="0.3881"/>
    <x v="1"/>
    <x v="17"/>
    <x v="30"/>
    <x v="105"/>
  </r>
  <r>
    <n v="750"/>
    <d v="2011-02-03T00:00:00"/>
    <x v="0"/>
    <x v="0"/>
    <x v="1"/>
    <x v="15"/>
    <x v="0"/>
    <n v="4"/>
    <x v="5"/>
    <n v="1"/>
    <x v="0"/>
    <n v="0.22"/>
    <n v="0.19700000000000001"/>
    <x v="0"/>
    <n v="0.37"/>
    <x v="2"/>
    <n v="0.32840000000000003"/>
    <x v="1"/>
    <x v="17"/>
    <x v="90"/>
    <x v="122"/>
  </r>
  <r>
    <n v="751"/>
    <d v="2011-02-03T00:00:00"/>
    <x v="0"/>
    <x v="0"/>
    <x v="1"/>
    <x v="16"/>
    <x v="0"/>
    <n v="4"/>
    <x v="5"/>
    <n v="1"/>
    <x v="0"/>
    <n v="0.22"/>
    <n v="0.21210000000000001"/>
    <x v="0"/>
    <n v="0.37"/>
    <x v="2"/>
    <n v="0.25369999999999998"/>
    <x v="1"/>
    <x v="2"/>
    <x v="26"/>
    <x v="53"/>
  </r>
  <r>
    <n v="752"/>
    <d v="2011-02-03T00:00:00"/>
    <x v="0"/>
    <x v="0"/>
    <x v="1"/>
    <x v="17"/>
    <x v="0"/>
    <n v="4"/>
    <x v="5"/>
    <n v="1"/>
    <x v="0"/>
    <n v="0.2"/>
    <n v="0.19700000000000001"/>
    <x v="0"/>
    <n v="0.4"/>
    <x v="1"/>
    <n v="0.19400000000000001"/>
    <x v="0"/>
    <x v="2"/>
    <x v="162"/>
    <x v="172"/>
  </r>
  <r>
    <n v="753"/>
    <d v="2011-02-03T00:00:00"/>
    <x v="0"/>
    <x v="0"/>
    <x v="1"/>
    <x v="18"/>
    <x v="0"/>
    <n v="4"/>
    <x v="5"/>
    <n v="1"/>
    <x v="0"/>
    <n v="0.2"/>
    <n v="0.21210000000000001"/>
    <x v="0"/>
    <n v="0.4"/>
    <x v="1"/>
    <n v="0.16420000000000001"/>
    <x v="0"/>
    <x v="4"/>
    <x v="142"/>
    <x v="173"/>
  </r>
  <r>
    <n v="754"/>
    <d v="2011-02-03T00:00:00"/>
    <x v="0"/>
    <x v="0"/>
    <x v="1"/>
    <x v="19"/>
    <x v="0"/>
    <n v="4"/>
    <x v="5"/>
    <n v="1"/>
    <x v="0"/>
    <n v="0.2"/>
    <n v="0.2576"/>
    <x v="0"/>
    <n v="0.4"/>
    <x v="1"/>
    <n v="0"/>
    <x v="0"/>
    <x v="17"/>
    <x v="50"/>
    <x v="152"/>
  </r>
  <r>
    <n v="755"/>
    <d v="2011-02-03T00:00:00"/>
    <x v="0"/>
    <x v="0"/>
    <x v="1"/>
    <x v="20"/>
    <x v="0"/>
    <n v="4"/>
    <x v="5"/>
    <n v="1"/>
    <x v="0"/>
    <n v="0.2"/>
    <n v="0.2273"/>
    <x v="0"/>
    <n v="0.47"/>
    <x v="1"/>
    <n v="8.9599999999999999E-2"/>
    <x v="0"/>
    <x v="5"/>
    <x v="123"/>
    <x v="142"/>
  </r>
  <r>
    <n v="756"/>
    <d v="2011-02-03T00:00:00"/>
    <x v="0"/>
    <x v="0"/>
    <x v="1"/>
    <x v="21"/>
    <x v="0"/>
    <n v="4"/>
    <x v="5"/>
    <n v="1"/>
    <x v="0"/>
    <n v="0.18"/>
    <n v="0.21210000000000001"/>
    <x v="0"/>
    <n v="0.55000000000000004"/>
    <x v="1"/>
    <n v="0.1045"/>
    <x v="0"/>
    <x v="5"/>
    <x v="42"/>
    <x v="60"/>
  </r>
  <r>
    <n v="757"/>
    <d v="2011-02-03T00:00:00"/>
    <x v="0"/>
    <x v="0"/>
    <x v="1"/>
    <x v="22"/>
    <x v="0"/>
    <n v="4"/>
    <x v="5"/>
    <n v="1"/>
    <x v="0"/>
    <n v="0.18"/>
    <n v="0.21210000000000001"/>
    <x v="0"/>
    <n v="0.51"/>
    <x v="1"/>
    <n v="8.9599999999999999E-2"/>
    <x v="0"/>
    <x v="4"/>
    <x v="87"/>
    <x v="102"/>
  </r>
  <r>
    <n v="758"/>
    <d v="2011-02-03T00:00:00"/>
    <x v="0"/>
    <x v="0"/>
    <x v="1"/>
    <x v="23"/>
    <x v="0"/>
    <n v="4"/>
    <x v="5"/>
    <n v="1"/>
    <x v="0"/>
    <n v="0.2"/>
    <n v="0.2273"/>
    <x v="0"/>
    <n v="0.47"/>
    <x v="1"/>
    <n v="0.1045"/>
    <x v="0"/>
    <x v="17"/>
    <x v="60"/>
    <x v="103"/>
  </r>
  <r>
    <n v="759"/>
    <d v="2011-02-04T00:00:00"/>
    <x v="0"/>
    <x v="0"/>
    <x v="1"/>
    <x v="0"/>
    <x v="0"/>
    <n v="5"/>
    <x v="6"/>
    <n v="2"/>
    <x v="1"/>
    <n v="0.2"/>
    <n v="0.2576"/>
    <x v="0"/>
    <n v="0.44"/>
    <x v="1"/>
    <n v="0"/>
    <x v="0"/>
    <x v="0"/>
    <x v="3"/>
    <x v="3"/>
  </r>
  <r>
    <n v="760"/>
    <d v="2011-02-04T00:00:00"/>
    <x v="0"/>
    <x v="0"/>
    <x v="1"/>
    <x v="1"/>
    <x v="0"/>
    <n v="5"/>
    <x v="6"/>
    <n v="2"/>
    <x v="1"/>
    <n v="0.16"/>
    <n v="0.2273"/>
    <x v="0"/>
    <n v="0.59"/>
    <x v="1"/>
    <n v="0"/>
    <x v="0"/>
    <x v="3"/>
    <x v="7"/>
    <x v="85"/>
  </r>
  <r>
    <n v="761"/>
    <d v="2011-02-04T00:00:00"/>
    <x v="0"/>
    <x v="0"/>
    <x v="1"/>
    <x v="2"/>
    <x v="0"/>
    <n v="5"/>
    <x v="6"/>
    <n v="2"/>
    <x v="1"/>
    <n v="0.14000000000000001"/>
    <n v="0.16669999999999999"/>
    <x v="0"/>
    <n v="0.63"/>
    <x v="1"/>
    <n v="0.1045"/>
    <x v="0"/>
    <x v="3"/>
    <x v="4"/>
    <x v="4"/>
  </r>
  <r>
    <n v="762"/>
    <d v="2011-02-04T00:00:00"/>
    <x v="0"/>
    <x v="0"/>
    <x v="1"/>
    <x v="3"/>
    <x v="0"/>
    <n v="5"/>
    <x v="6"/>
    <n v="2"/>
    <x v="1"/>
    <n v="0.14000000000000001"/>
    <n v="0.16669999999999999"/>
    <x v="0"/>
    <n v="0.63"/>
    <x v="1"/>
    <n v="0.1045"/>
    <x v="0"/>
    <x v="3"/>
    <x v="4"/>
    <x v="4"/>
  </r>
  <r>
    <n v="763"/>
    <d v="2011-02-04T00:00:00"/>
    <x v="0"/>
    <x v="0"/>
    <x v="1"/>
    <x v="5"/>
    <x v="0"/>
    <n v="5"/>
    <x v="6"/>
    <n v="2"/>
    <x v="1"/>
    <n v="0.14000000000000001"/>
    <n v="0.1515"/>
    <x v="0"/>
    <n v="0.63"/>
    <x v="1"/>
    <n v="0.1343"/>
    <x v="0"/>
    <x v="3"/>
    <x v="7"/>
    <x v="85"/>
  </r>
  <r>
    <n v="764"/>
    <d v="2011-02-04T00:00:00"/>
    <x v="0"/>
    <x v="0"/>
    <x v="1"/>
    <x v="6"/>
    <x v="0"/>
    <n v="5"/>
    <x v="6"/>
    <n v="2"/>
    <x v="1"/>
    <n v="0.16"/>
    <n v="0.2273"/>
    <x v="0"/>
    <n v="0.55000000000000004"/>
    <x v="1"/>
    <n v="0"/>
    <x v="0"/>
    <x v="4"/>
    <x v="16"/>
    <x v="20"/>
  </r>
  <r>
    <n v="765"/>
    <d v="2011-02-04T00:00:00"/>
    <x v="0"/>
    <x v="0"/>
    <x v="1"/>
    <x v="7"/>
    <x v="0"/>
    <n v="5"/>
    <x v="6"/>
    <n v="1"/>
    <x v="0"/>
    <n v="0.14000000000000001"/>
    <n v="0.21210000000000001"/>
    <x v="0"/>
    <n v="0.59"/>
    <x v="1"/>
    <n v="0"/>
    <x v="0"/>
    <x v="3"/>
    <x v="61"/>
    <x v="90"/>
  </r>
  <r>
    <n v="766"/>
    <d v="2011-02-04T00:00:00"/>
    <x v="0"/>
    <x v="0"/>
    <x v="1"/>
    <x v="8"/>
    <x v="0"/>
    <n v="5"/>
    <x v="6"/>
    <n v="1"/>
    <x v="0"/>
    <n v="0.14000000000000001"/>
    <n v="0.1515"/>
    <x v="0"/>
    <n v="0.74"/>
    <x v="0"/>
    <n v="0.1343"/>
    <x v="0"/>
    <x v="0"/>
    <x v="163"/>
    <x v="174"/>
  </r>
  <r>
    <n v="767"/>
    <d v="2011-02-04T00:00:00"/>
    <x v="0"/>
    <x v="0"/>
    <x v="1"/>
    <x v="9"/>
    <x v="0"/>
    <n v="5"/>
    <x v="6"/>
    <n v="2"/>
    <x v="1"/>
    <n v="0.16"/>
    <n v="0.18179999999999999"/>
    <x v="0"/>
    <n v="0.8"/>
    <x v="0"/>
    <n v="0.1343"/>
    <x v="0"/>
    <x v="0"/>
    <x v="125"/>
    <x v="175"/>
  </r>
  <r>
    <n v="768"/>
    <d v="2011-02-04T00:00:00"/>
    <x v="0"/>
    <x v="0"/>
    <x v="1"/>
    <x v="10"/>
    <x v="0"/>
    <n v="5"/>
    <x v="6"/>
    <n v="2"/>
    <x v="1"/>
    <n v="0.2"/>
    <n v="0.21210000000000001"/>
    <x v="0"/>
    <n v="0.51"/>
    <x v="1"/>
    <n v="0.1343"/>
    <x v="0"/>
    <x v="2"/>
    <x v="24"/>
    <x v="41"/>
  </r>
  <r>
    <n v="769"/>
    <d v="2011-02-04T00:00:00"/>
    <x v="0"/>
    <x v="0"/>
    <x v="1"/>
    <x v="11"/>
    <x v="0"/>
    <n v="5"/>
    <x v="6"/>
    <n v="1"/>
    <x v="0"/>
    <n v="0.22"/>
    <n v="0.2273"/>
    <x v="0"/>
    <n v="0.51"/>
    <x v="1"/>
    <n v="0.16420000000000001"/>
    <x v="0"/>
    <x v="0"/>
    <x v="124"/>
    <x v="37"/>
  </r>
  <r>
    <n v="770"/>
    <d v="2011-02-04T00:00:00"/>
    <x v="0"/>
    <x v="0"/>
    <x v="1"/>
    <x v="12"/>
    <x v="0"/>
    <n v="5"/>
    <x v="6"/>
    <n v="2"/>
    <x v="1"/>
    <n v="0.24"/>
    <n v="0.2424"/>
    <x v="0"/>
    <n v="0.48"/>
    <x v="1"/>
    <n v="0.16420000000000001"/>
    <x v="0"/>
    <x v="1"/>
    <x v="78"/>
    <x v="80"/>
  </r>
  <r>
    <n v="771"/>
    <d v="2011-02-04T00:00:00"/>
    <x v="0"/>
    <x v="0"/>
    <x v="1"/>
    <x v="13"/>
    <x v="0"/>
    <n v="5"/>
    <x v="6"/>
    <n v="2"/>
    <x v="1"/>
    <n v="0.26"/>
    <n v="0.2576"/>
    <x v="0"/>
    <n v="0.5"/>
    <x v="1"/>
    <n v="0.22389999999999999"/>
    <x v="1"/>
    <x v="14"/>
    <x v="26"/>
    <x v="100"/>
  </r>
  <r>
    <n v="772"/>
    <d v="2011-02-04T00:00:00"/>
    <x v="0"/>
    <x v="0"/>
    <x v="1"/>
    <x v="14"/>
    <x v="0"/>
    <n v="5"/>
    <x v="6"/>
    <n v="2"/>
    <x v="1"/>
    <n v="0.28000000000000003"/>
    <n v="0.2727"/>
    <x v="0"/>
    <n v="0.45"/>
    <x v="1"/>
    <n v="0.16420000000000001"/>
    <x v="0"/>
    <x v="13"/>
    <x v="83"/>
    <x v="134"/>
  </r>
  <r>
    <n v="773"/>
    <d v="2011-02-04T00:00:00"/>
    <x v="0"/>
    <x v="0"/>
    <x v="1"/>
    <x v="15"/>
    <x v="0"/>
    <n v="5"/>
    <x v="6"/>
    <n v="2"/>
    <x v="1"/>
    <n v="0.28000000000000003"/>
    <n v="0.2727"/>
    <x v="0"/>
    <n v="0.48"/>
    <x v="1"/>
    <n v="0.25369999999999998"/>
    <x v="1"/>
    <x v="14"/>
    <x v="38"/>
    <x v="127"/>
  </r>
  <r>
    <n v="774"/>
    <d v="2011-02-04T00:00:00"/>
    <x v="0"/>
    <x v="0"/>
    <x v="1"/>
    <x v="16"/>
    <x v="0"/>
    <n v="5"/>
    <x v="6"/>
    <n v="2"/>
    <x v="1"/>
    <n v="0.3"/>
    <n v="0.28789999999999999"/>
    <x v="0"/>
    <n v="0.42"/>
    <x v="1"/>
    <n v="0.22389999999999999"/>
    <x v="1"/>
    <x v="1"/>
    <x v="164"/>
    <x v="111"/>
  </r>
  <r>
    <n v="775"/>
    <d v="2011-02-04T00:00:00"/>
    <x v="0"/>
    <x v="0"/>
    <x v="1"/>
    <x v="17"/>
    <x v="0"/>
    <n v="5"/>
    <x v="6"/>
    <n v="2"/>
    <x v="1"/>
    <n v="0.26"/>
    <n v="0.2727"/>
    <x v="0"/>
    <n v="0.56000000000000005"/>
    <x v="1"/>
    <n v="0.1343"/>
    <x v="0"/>
    <x v="22"/>
    <x v="165"/>
    <x v="176"/>
  </r>
  <r>
    <n v="776"/>
    <d v="2011-02-04T00:00:00"/>
    <x v="0"/>
    <x v="0"/>
    <x v="1"/>
    <x v="18"/>
    <x v="0"/>
    <n v="5"/>
    <x v="6"/>
    <n v="2"/>
    <x v="1"/>
    <n v="0.24"/>
    <n v="0.2576"/>
    <x v="0"/>
    <n v="0.6"/>
    <x v="1"/>
    <n v="0.1045"/>
    <x v="0"/>
    <x v="0"/>
    <x v="166"/>
    <x v="107"/>
  </r>
  <r>
    <n v="777"/>
    <d v="2011-02-04T00:00:00"/>
    <x v="0"/>
    <x v="0"/>
    <x v="1"/>
    <x v="19"/>
    <x v="0"/>
    <n v="5"/>
    <x v="6"/>
    <n v="2"/>
    <x v="1"/>
    <n v="0.24"/>
    <n v="0.2424"/>
    <x v="0"/>
    <n v="0.65"/>
    <x v="1"/>
    <n v="0.1343"/>
    <x v="0"/>
    <x v="5"/>
    <x v="46"/>
    <x v="153"/>
  </r>
  <r>
    <n v="778"/>
    <d v="2011-02-04T00:00:00"/>
    <x v="0"/>
    <x v="0"/>
    <x v="1"/>
    <x v="20"/>
    <x v="0"/>
    <n v="5"/>
    <x v="6"/>
    <n v="2"/>
    <x v="1"/>
    <n v="0.24"/>
    <n v="0.2424"/>
    <x v="0"/>
    <n v="0.65"/>
    <x v="1"/>
    <n v="0.16420000000000001"/>
    <x v="0"/>
    <x v="4"/>
    <x v="94"/>
    <x v="68"/>
  </r>
  <r>
    <n v="779"/>
    <d v="2011-02-04T00:00:00"/>
    <x v="0"/>
    <x v="0"/>
    <x v="1"/>
    <x v="21"/>
    <x v="0"/>
    <n v="5"/>
    <x v="6"/>
    <n v="2"/>
    <x v="1"/>
    <n v="0.24"/>
    <n v="0.2424"/>
    <x v="0"/>
    <n v="0.7"/>
    <x v="0"/>
    <n v="0.16420000000000001"/>
    <x v="0"/>
    <x v="4"/>
    <x v="40"/>
    <x v="74"/>
  </r>
  <r>
    <n v="780"/>
    <d v="2011-02-04T00:00:00"/>
    <x v="0"/>
    <x v="0"/>
    <x v="1"/>
    <x v="22"/>
    <x v="0"/>
    <n v="5"/>
    <x v="6"/>
    <n v="2"/>
    <x v="1"/>
    <n v="0.24"/>
    <n v="0.2424"/>
    <x v="0"/>
    <n v="0.65"/>
    <x v="1"/>
    <n v="0.16420000000000001"/>
    <x v="0"/>
    <x v="5"/>
    <x v="108"/>
    <x v="66"/>
  </r>
  <r>
    <n v="781"/>
    <d v="2011-02-04T00:00:00"/>
    <x v="0"/>
    <x v="0"/>
    <x v="1"/>
    <x v="23"/>
    <x v="0"/>
    <n v="5"/>
    <x v="6"/>
    <n v="2"/>
    <x v="1"/>
    <n v="0.24"/>
    <n v="0.2424"/>
    <x v="0"/>
    <n v="0.7"/>
    <x v="0"/>
    <n v="0.1343"/>
    <x v="0"/>
    <x v="5"/>
    <x v="10"/>
    <x v="35"/>
  </r>
  <r>
    <n v="782"/>
    <d v="2011-02-05T00:00:00"/>
    <x v="0"/>
    <x v="0"/>
    <x v="1"/>
    <x v="0"/>
    <x v="0"/>
    <n v="6"/>
    <x v="0"/>
    <n v="2"/>
    <x v="1"/>
    <n v="0.24"/>
    <n v="0.2424"/>
    <x v="0"/>
    <n v="0.7"/>
    <x v="0"/>
    <n v="0.16420000000000001"/>
    <x v="0"/>
    <x v="0"/>
    <x v="49"/>
    <x v="21"/>
  </r>
  <r>
    <n v="783"/>
    <d v="2011-02-05T00:00:00"/>
    <x v="0"/>
    <x v="0"/>
    <x v="1"/>
    <x v="1"/>
    <x v="0"/>
    <n v="6"/>
    <x v="0"/>
    <n v="2"/>
    <x v="1"/>
    <n v="0.24"/>
    <n v="0.2424"/>
    <x v="0"/>
    <n v="0.65"/>
    <x v="1"/>
    <n v="0.16420000000000001"/>
    <x v="0"/>
    <x v="5"/>
    <x v="19"/>
    <x v="109"/>
  </r>
  <r>
    <n v="784"/>
    <d v="2011-02-05T00:00:00"/>
    <x v="0"/>
    <x v="0"/>
    <x v="1"/>
    <x v="2"/>
    <x v="0"/>
    <n v="6"/>
    <x v="0"/>
    <n v="2"/>
    <x v="1"/>
    <n v="0.24"/>
    <n v="0.2424"/>
    <x v="0"/>
    <n v="0.75"/>
    <x v="0"/>
    <n v="0.16420000000000001"/>
    <x v="0"/>
    <x v="2"/>
    <x v="98"/>
    <x v="22"/>
  </r>
  <r>
    <n v="785"/>
    <d v="2011-02-05T00:00:00"/>
    <x v="0"/>
    <x v="0"/>
    <x v="1"/>
    <x v="3"/>
    <x v="0"/>
    <n v="6"/>
    <x v="0"/>
    <n v="2"/>
    <x v="1"/>
    <n v="0.24"/>
    <n v="0.2424"/>
    <x v="0"/>
    <n v="0.75"/>
    <x v="0"/>
    <n v="0.16420000000000001"/>
    <x v="0"/>
    <x v="5"/>
    <x v="3"/>
    <x v="62"/>
  </r>
  <r>
    <n v="786"/>
    <d v="2011-02-05T00:00:00"/>
    <x v="0"/>
    <x v="0"/>
    <x v="1"/>
    <x v="4"/>
    <x v="0"/>
    <n v="6"/>
    <x v="0"/>
    <n v="3"/>
    <x v="2"/>
    <n v="0.22"/>
    <n v="0.2273"/>
    <x v="0"/>
    <n v="0.93"/>
    <x v="0"/>
    <n v="0.1343"/>
    <x v="0"/>
    <x v="3"/>
    <x v="21"/>
    <x v="7"/>
  </r>
  <r>
    <n v="787"/>
    <d v="2011-02-05T00:00:00"/>
    <x v="0"/>
    <x v="0"/>
    <x v="1"/>
    <x v="5"/>
    <x v="0"/>
    <n v="6"/>
    <x v="0"/>
    <n v="3"/>
    <x v="2"/>
    <n v="0.2"/>
    <n v="0.2273"/>
    <x v="0"/>
    <n v="1"/>
    <x v="0"/>
    <n v="8.9599999999999999E-2"/>
    <x v="0"/>
    <x v="3"/>
    <x v="33"/>
    <x v="23"/>
  </r>
  <r>
    <n v="788"/>
    <d v="2011-02-05T00:00:00"/>
    <x v="0"/>
    <x v="0"/>
    <x v="1"/>
    <x v="6"/>
    <x v="0"/>
    <n v="6"/>
    <x v="0"/>
    <n v="3"/>
    <x v="2"/>
    <n v="0.2"/>
    <n v="0.2576"/>
    <x v="0"/>
    <n v="1"/>
    <x v="0"/>
    <n v="0"/>
    <x v="0"/>
    <x v="3"/>
    <x v="22"/>
    <x v="48"/>
  </r>
  <r>
    <n v="789"/>
    <d v="2011-02-05T00:00:00"/>
    <x v="0"/>
    <x v="0"/>
    <x v="1"/>
    <x v="7"/>
    <x v="0"/>
    <n v="6"/>
    <x v="0"/>
    <n v="3"/>
    <x v="2"/>
    <n v="0.22"/>
    <n v="0.2576"/>
    <x v="0"/>
    <n v="0.93"/>
    <x v="0"/>
    <n v="8.9599999999999999E-2"/>
    <x v="0"/>
    <x v="3"/>
    <x v="22"/>
    <x v="48"/>
  </r>
  <r>
    <n v="790"/>
    <d v="2011-02-05T00:00:00"/>
    <x v="0"/>
    <x v="0"/>
    <x v="1"/>
    <x v="8"/>
    <x v="0"/>
    <n v="6"/>
    <x v="0"/>
    <n v="3"/>
    <x v="2"/>
    <n v="0.2"/>
    <n v="0.2273"/>
    <x v="0"/>
    <n v="1"/>
    <x v="0"/>
    <n v="8.9599999999999999E-2"/>
    <x v="0"/>
    <x v="3"/>
    <x v="3"/>
    <x v="98"/>
  </r>
  <r>
    <n v="791"/>
    <d v="2011-02-05T00:00:00"/>
    <x v="0"/>
    <x v="0"/>
    <x v="1"/>
    <x v="9"/>
    <x v="0"/>
    <n v="6"/>
    <x v="0"/>
    <n v="3"/>
    <x v="2"/>
    <n v="0.2"/>
    <n v="0.2273"/>
    <x v="0"/>
    <n v="1"/>
    <x v="0"/>
    <n v="8.9599999999999999E-2"/>
    <x v="0"/>
    <x v="0"/>
    <x v="19"/>
    <x v="25"/>
  </r>
  <r>
    <n v="792"/>
    <d v="2011-02-05T00:00:00"/>
    <x v="0"/>
    <x v="0"/>
    <x v="1"/>
    <x v="10"/>
    <x v="0"/>
    <n v="6"/>
    <x v="0"/>
    <n v="3"/>
    <x v="2"/>
    <n v="0.2"/>
    <n v="0.21210000000000001"/>
    <x v="0"/>
    <n v="1"/>
    <x v="0"/>
    <n v="0.1343"/>
    <x v="0"/>
    <x v="0"/>
    <x v="17"/>
    <x v="19"/>
  </r>
  <r>
    <n v="793"/>
    <d v="2011-02-05T00:00:00"/>
    <x v="0"/>
    <x v="0"/>
    <x v="1"/>
    <x v="11"/>
    <x v="0"/>
    <n v="6"/>
    <x v="0"/>
    <n v="3"/>
    <x v="2"/>
    <n v="0.22"/>
    <n v="0.2273"/>
    <x v="0"/>
    <n v="1"/>
    <x v="0"/>
    <n v="0.1343"/>
    <x v="0"/>
    <x v="5"/>
    <x v="24"/>
    <x v="105"/>
  </r>
  <r>
    <n v="794"/>
    <d v="2011-02-05T00:00:00"/>
    <x v="0"/>
    <x v="0"/>
    <x v="1"/>
    <x v="12"/>
    <x v="0"/>
    <n v="6"/>
    <x v="0"/>
    <n v="3"/>
    <x v="2"/>
    <n v="0.22"/>
    <n v="0.2273"/>
    <x v="0"/>
    <n v="1"/>
    <x v="0"/>
    <n v="0.16420000000000001"/>
    <x v="0"/>
    <x v="22"/>
    <x v="76"/>
    <x v="46"/>
  </r>
  <r>
    <n v="795"/>
    <d v="2011-02-05T00:00:00"/>
    <x v="0"/>
    <x v="0"/>
    <x v="1"/>
    <x v="13"/>
    <x v="0"/>
    <n v="6"/>
    <x v="0"/>
    <n v="3"/>
    <x v="2"/>
    <n v="0.22"/>
    <n v="0.2273"/>
    <x v="0"/>
    <n v="1"/>
    <x v="0"/>
    <n v="0.16420000000000001"/>
    <x v="0"/>
    <x v="22"/>
    <x v="133"/>
    <x v="44"/>
  </r>
  <r>
    <n v="796"/>
    <d v="2011-02-05T00:00:00"/>
    <x v="0"/>
    <x v="0"/>
    <x v="1"/>
    <x v="14"/>
    <x v="0"/>
    <n v="6"/>
    <x v="0"/>
    <n v="3"/>
    <x v="2"/>
    <n v="0.22"/>
    <n v="0.2727"/>
    <x v="0"/>
    <n v="1"/>
    <x v="0"/>
    <n v="0"/>
    <x v="0"/>
    <x v="2"/>
    <x v="54"/>
    <x v="97"/>
  </r>
  <r>
    <n v="797"/>
    <d v="2011-02-05T00:00:00"/>
    <x v="0"/>
    <x v="0"/>
    <x v="1"/>
    <x v="15"/>
    <x v="0"/>
    <n v="6"/>
    <x v="0"/>
    <n v="3"/>
    <x v="2"/>
    <n v="0.22"/>
    <n v="0.2727"/>
    <x v="0"/>
    <n v="1"/>
    <x v="0"/>
    <n v="0"/>
    <x v="0"/>
    <x v="16"/>
    <x v="47"/>
    <x v="122"/>
  </r>
  <r>
    <n v="798"/>
    <d v="2011-02-05T00:00:00"/>
    <x v="0"/>
    <x v="0"/>
    <x v="1"/>
    <x v="16"/>
    <x v="0"/>
    <n v="6"/>
    <x v="0"/>
    <n v="3"/>
    <x v="2"/>
    <n v="0.22"/>
    <n v="0.2273"/>
    <x v="0"/>
    <n v="1"/>
    <x v="0"/>
    <n v="0.1343"/>
    <x v="0"/>
    <x v="1"/>
    <x v="36"/>
    <x v="68"/>
  </r>
  <r>
    <n v="799"/>
    <d v="2011-02-05T00:00:00"/>
    <x v="0"/>
    <x v="0"/>
    <x v="1"/>
    <x v="17"/>
    <x v="0"/>
    <n v="6"/>
    <x v="0"/>
    <n v="2"/>
    <x v="1"/>
    <n v="0.24"/>
    <n v="0.21210000000000001"/>
    <x v="0"/>
    <n v="1"/>
    <x v="0"/>
    <n v="0.28360000000000002"/>
    <x v="1"/>
    <x v="24"/>
    <x v="27"/>
    <x v="53"/>
  </r>
  <r>
    <n v="800"/>
    <d v="2011-02-05T00:00:00"/>
    <x v="0"/>
    <x v="0"/>
    <x v="1"/>
    <x v="18"/>
    <x v="0"/>
    <n v="6"/>
    <x v="0"/>
    <n v="2"/>
    <x v="1"/>
    <n v="0.28000000000000003"/>
    <n v="0.2424"/>
    <x v="0"/>
    <n v="0.93"/>
    <x v="0"/>
    <n v="0.44779999999999998"/>
    <x v="1"/>
    <x v="4"/>
    <x v="38"/>
    <x v="56"/>
  </r>
  <r>
    <n v="801"/>
    <d v="2011-02-05T00:00:00"/>
    <x v="0"/>
    <x v="0"/>
    <x v="1"/>
    <x v="19"/>
    <x v="0"/>
    <n v="6"/>
    <x v="0"/>
    <n v="2"/>
    <x v="1"/>
    <n v="0.28000000000000003"/>
    <n v="0.2424"/>
    <x v="0"/>
    <n v="0.93"/>
    <x v="0"/>
    <n v="0.44779999999999998"/>
    <x v="1"/>
    <x v="15"/>
    <x v="78"/>
    <x v="11"/>
  </r>
  <r>
    <n v="802"/>
    <d v="2011-02-05T00:00:00"/>
    <x v="0"/>
    <x v="0"/>
    <x v="1"/>
    <x v="20"/>
    <x v="0"/>
    <n v="6"/>
    <x v="0"/>
    <n v="1"/>
    <x v="0"/>
    <n v="0.3"/>
    <n v="0.28789999999999999"/>
    <x v="0"/>
    <n v="0.87"/>
    <x v="0"/>
    <n v="0.25369999999999998"/>
    <x v="1"/>
    <x v="2"/>
    <x v="27"/>
    <x v="83"/>
  </r>
  <r>
    <n v="803"/>
    <d v="2011-02-05T00:00:00"/>
    <x v="0"/>
    <x v="0"/>
    <x v="1"/>
    <x v="21"/>
    <x v="0"/>
    <n v="6"/>
    <x v="0"/>
    <n v="1"/>
    <x v="0"/>
    <n v="0.26"/>
    <n v="0.2576"/>
    <x v="0"/>
    <n v="1"/>
    <x v="0"/>
    <n v="0.19400000000000001"/>
    <x v="0"/>
    <x v="0"/>
    <x v="42"/>
    <x v="10"/>
  </r>
  <r>
    <n v="804"/>
    <d v="2011-02-05T00:00:00"/>
    <x v="0"/>
    <x v="0"/>
    <x v="1"/>
    <x v="22"/>
    <x v="0"/>
    <n v="6"/>
    <x v="0"/>
    <n v="1"/>
    <x v="0"/>
    <n v="0.26"/>
    <n v="0.2727"/>
    <x v="0"/>
    <n v="0.93"/>
    <x v="0"/>
    <n v="0.1343"/>
    <x v="0"/>
    <x v="4"/>
    <x v="30"/>
    <x v="79"/>
  </r>
  <r>
    <n v="805"/>
    <d v="2011-02-05T00:00:00"/>
    <x v="0"/>
    <x v="0"/>
    <x v="1"/>
    <x v="23"/>
    <x v="0"/>
    <n v="6"/>
    <x v="0"/>
    <n v="1"/>
    <x v="0"/>
    <n v="0.26"/>
    <n v="0.2576"/>
    <x v="0"/>
    <n v="0.93"/>
    <x v="0"/>
    <n v="0.22389999999999999"/>
    <x v="1"/>
    <x v="18"/>
    <x v="15"/>
    <x v="29"/>
  </r>
  <r>
    <n v="806"/>
    <d v="2011-02-06T00:00:00"/>
    <x v="0"/>
    <x v="0"/>
    <x v="1"/>
    <x v="0"/>
    <x v="0"/>
    <n v="0"/>
    <x v="1"/>
    <n v="1"/>
    <x v="0"/>
    <n v="0.26"/>
    <n v="0.2576"/>
    <x v="0"/>
    <n v="0.7"/>
    <x v="0"/>
    <n v="0.19400000000000001"/>
    <x v="0"/>
    <x v="4"/>
    <x v="53"/>
    <x v="21"/>
  </r>
  <r>
    <n v="807"/>
    <d v="2011-02-06T00:00:00"/>
    <x v="0"/>
    <x v="0"/>
    <x v="1"/>
    <x v="1"/>
    <x v="0"/>
    <n v="0"/>
    <x v="1"/>
    <n v="1"/>
    <x v="0"/>
    <n v="0.26"/>
    <n v="0.2273"/>
    <x v="0"/>
    <n v="0.65"/>
    <x v="1"/>
    <n v="0.41789999999999999"/>
    <x v="1"/>
    <x v="17"/>
    <x v="71"/>
    <x v="40"/>
  </r>
  <r>
    <n v="808"/>
    <d v="2011-02-06T00:00:00"/>
    <x v="0"/>
    <x v="0"/>
    <x v="1"/>
    <x v="2"/>
    <x v="0"/>
    <n v="0"/>
    <x v="1"/>
    <n v="1"/>
    <x v="0"/>
    <n v="0.26"/>
    <n v="0.2273"/>
    <x v="0"/>
    <n v="0.6"/>
    <x v="1"/>
    <n v="0.32840000000000003"/>
    <x v="1"/>
    <x v="3"/>
    <x v="32"/>
    <x v="25"/>
  </r>
  <r>
    <n v="809"/>
    <d v="2011-02-06T00:00:00"/>
    <x v="0"/>
    <x v="0"/>
    <x v="1"/>
    <x v="3"/>
    <x v="0"/>
    <n v="0"/>
    <x v="1"/>
    <n v="1"/>
    <x v="0"/>
    <n v="0.26"/>
    <n v="0.28789999999999999"/>
    <x v="0"/>
    <n v="0.6"/>
    <x v="1"/>
    <n v="8.9599999999999999E-2"/>
    <x v="0"/>
    <x v="0"/>
    <x v="3"/>
    <x v="3"/>
  </r>
  <r>
    <n v="810"/>
    <d v="2011-02-06T00:00:00"/>
    <x v="0"/>
    <x v="0"/>
    <x v="1"/>
    <x v="4"/>
    <x v="0"/>
    <n v="0"/>
    <x v="1"/>
    <n v="1"/>
    <x v="0"/>
    <n v="0.26"/>
    <n v="0.2273"/>
    <x v="0"/>
    <n v="0.6"/>
    <x v="1"/>
    <n v="0.35820000000000002"/>
    <x v="1"/>
    <x v="3"/>
    <x v="6"/>
    <x v="5"/>
  </r>
  <r>
    <n v="811"/>
    <d v="2011-02-06T00:00:00"/>
    <x v="0"/>
    <x v="0"/>
    <x v="1"/>
    <x v="5"/>
    <x v="0"/>
    <n v="0"/>
    <x v="1"/>
    <n v="1"/>
    <x v="0"/>
    <n v="0.26"/>
    <n v="0.2576"/>
    <x v="0"/>
    <n v="0.6"/>
    <x v="1"/>
    <n v="0.22389999999999999"/>
    <x v="1"/>
    <x v="3"/>
    <x v="4"/>
    <x v="4"/>
  </r>
  <r>
    <n v="812"/>
    <d v="2011-02-06T00:00:00"/>
    <x v="0"/>
    <x v="0"/>
    <x v="1"/>
    <x v="6"/>
    <x v="0"/>
    <n v="0"/>
    <x v="1"/>
    <n v="1"/>
    <x v="0"/>
    <n v="0.26"/>
    <n v="0.2576"/>
    <x v="0"/>
    <n v="0.6"/>
    <x v="1"/>
    <n v="0.22389999999999999"/>
    <x v="1"/>
    <x v="3"/>
    <x v="4"/>
    <x v="4"/>
  </r>
  <r>
    <n v="813"/>
    <d v="2011-02-06T00:00:00"/>
    <x v="0"/>
    <x v="0"/>
    <x v="1"/>
    <x v="7"/>
    <x v="0"/>
    <n v="0"/>
    <x v="1"/>
    <n v="1"/>
    <x v="0"/>
    <n v="0.24"/>
    <n v="0.2424"/>
    <x v="0"/>
    <n v="0.65"/>
    <x v="1"/>
    <n v="0.16420000000000001"/>
    <x v="0"/>
    <x v="3"/>
    <x v="21"/>
    <x v="7"/>
  </r>
  <r>
    <n v="814"/>
    <d v="2011-02-06T00:00:00"/>
    <x v="0"/>
    <x v="0"/>
    <x v="1"/>
    <x v="8"/>
    <x v="0"/>
    <n v="0"/>
    <x v="1"/>
    <n v="1"/>
    <x v="0"/>
    <n v="0.24"/>
    <n v="0.2576"/>
    <x v="0"/>
    <n v="0.65"/>
    <x v="1"/>
    <n v="0.1045"/>
    <x v="0"/>
    <x v="4"/>
    <x v="144"/>
    <x v="84"/>
  </r>
  <r>
    <n v="815"/>
    <d v="2011-02-06T00:00:00"/>
    <x v="0"/>
    <x v="0"/>
    <x v="1"/>
    <x v="9"/>
    <x v="0"/>
    <n v="0"/>
    <x v="1"/>
    <n v="1"/>
    <x v="0"/>
    <n v="0.28000000000000003"/>
    <n v="0.28789999999999999"/>
    <x v="0"/>
    <n v="0.56000000000000005"/>
    <x v="1"/>
    <n v="0.1045"/>
    <x v="0"/>
    <x v="18"/>
    <x v="101"/>
    <x v="79"/>
  </r>
  <r>
    <n v="816"/>
    <d v="2011-02-06T00:00:00"/>
    <x v="0"/>
    <x v="0"/>
    <x v="1"/>
    <x v="10"/>
    <x v="0"/>
    <n v="0"/>
    <x v="1"/>
    <n v="1"/>
    <x v="0"/>
    <n v="0.3"/>
    <n v="0.28789999999999999"/>
    <x v="0"/>
    <n v="0.52"/>
    <x v="1"/>
    <n v="0.25369999999999998"/>
    <x v="1"/>
    <x v="13"/>
    <x v="64"/>
    <x v="70"/>
  </r>
  <r>
    <n v="817"/>
    <d v="2011-02-06T00:00:00"/>
    <x v="0"/>
    <x v="0"/>
    <x v="1"/>
    <x v="11"/>
    <x v="0"/>
    <n v="0"/>
    <x v="1"/>
    <n v="1"/>
    <x v="0"/>
    <n v="0.32"/>
    <n v="0.30299999999999999"/>
    <x v="1"/>
    <n v="0.49"/>
    <x v="1"/>
    <n v="0.25369999999999998"/>
    <x v="1"/>
    <x v="32"/>
    <x v="121"/>
    <x v="126"/>
  </r>
  <r>
    <n v="818"/>
    <d v="2011-02-06T00:00:00"/>
    <x v="0"/>
    <x v="0"/>
    <x v="1"/>
    <x v="12"/>
    <x v="0"/>
    <n v="0"/>
    <x v="1"/>
    <n v="1"/>
    <x v="0"/>
    <n v="0.34"/>
    <n v="0.33329999999999999"/>
    <x v="1"/>
    <n v="0.46"/>
    <x v="1"/>
    <n v="0"/>
    <x v="0"/>
    <x v="33"/>
    <x v="167"/>
    <x v="177"/>
  </r>
  <r>
    <n v="819"/>
    <d v="2011-02-06T00:00:00"/>
    <x v="0"/>
    <x v="0"/>
    <x v="1"/>
    <x v="13"/>
    <x v="0"/>
    <n v="0"/>
    <x v="1"/>
    <n v="1"/>
    <x v="0"/>
    <n v="0.34"/>
    <n v="0.36359999999999998"/>
    <x v="1"/>
    <n v="0.46"/>
    <x v="1"/>
    <n v="0"/>
    <x v="0"/>
    <x v="9"/>
    <x v="113"/>
    <x v="58"/>
  </r>
  <r>
    <n v="820"/>
    <d v="2011-02-06T00:00:00"/>
    <x v="0"/>
    <x v="0"/>
    <x v="1"/>
    <x v="14"/>
    <x v="0"/>
    <n v="0"/>
    <x v="1"/>
    <n v="1"/>
    <x v="0"/>
    <n v="0.34"/>
    <n v="0.34849999999999998"/>
    <x v="1"/>
    <n v="0.46"/>
    <x v="1"/>
    <n v="8.9599999999999999E-2"/>
    <x v="0"/>
    <x v="9"/>
    <x v="156"/>
    <x v="143"/>
  </r>
  <r>
    <n v="821"/>
    <d v="2011-02-06T00:00:00"/>
    <x v="0"/>
    <x v="0"/>
    <x v="1"/>
    <x v="15"/>
    <x v="0"/>
    <n v="0"/>
    <x v="1"/>
    <n v="1"/>
    <x v="0"/>
    <n v="0.34"/>
    <n v="0.34849999999999998"/>
    <x v="1"/>
    <n v="0.46"/>
    <x v="1"/>
    <n v="8.9599999999999999E-2"/>
    <x v="0"/>
    <x v="34"/>
    <x v="110"/>
    <x v="58"/>
  </r>
  <r>
    <n v="822"/>
    <d v="2011-02-06T00:00:00"/>
    <x v="0"/>
    <x v="0"/>
    <x v="1"/>
    <x v="16"/>
    <x v="0"/>
    <n v="0"/>
    <x v="1"/>
    <n v="1"/>
    <x v="0"/>
    <n v="0.34"/>
    <n v="0.34849999999999998"/>
    <x v="1"/>
    <n v="0.49"/>
    <x v="1"/>
    <n v="0.1045"/>
    <x v="0"/>
    <x v="35"/>
    <x v="168"/>
    <x v="45"/>
  </r>
  <r>
    <n v="823"/>
    <d v="2011-02-06T00:00:00"/>
    <x v="0"/>
    <x v="0"/>
    <x v="1"/>
    <x v="17"/>
    <x v="0"/>
    <n v="0"/>
    <x v="1"/>
    <n v="1"/>
    <x v="0"/>
    <n v="0.34"/>
    <n v="0.36359999999999998"/>
    <x v="1"/>
    <n v="0.46"/>
    <x v="1"/>
    <n v="0"/>
    <x v="0"/>
    <x v="31"/>
    <x v="106"/>
    <x v="178"/>
  </r>
  <r>
    <n v="824"/>
    <d v="2011-02-06T00:00:00"/>
    <x v="0"/>
    <x v="0"/>
    <x v="1"/>
    <x v="18"/>
    <x v="0"/>
    <n v="0"/>
    <x v="1"/>
    <n v="1"/>
    <x v="0"/>
    <n v="0.3"/>
    <n v="0.30299999999999999"/>
    <x v="1"/>
    <n v="0.56000000000000005"/>
    <x v="1"/>
    <n v="0.16420000000000001"/>
    <x v="0"/>
    <x v="23"/>
    <x v="65"/>
    <x v="53"/>
  </r>
  <r>
    <n v="825"/>
    <d v="2011-02-06T00:00:00"/>
    <x v="0"/>
    <x v="0"/>
    <x v="1"/>
    <x v="19"/>
    <x v="0"/>
    <n v="0"/>
    <x v="1"/>
    <n v="1"/>
    <x v="0"/>
    <n v="0.28000000000000003"/>
    <n v="0.28789999999999999"/>
    <x v="0"/>
    <n v="0.61"/>
    <x v="1"/>
    <n v="0.1343"/>
    <x v="0"/>
    <x v="5"/>
    <x v="32"/>
    <x v="137"/>
  </r>
  <r>
    <n v="826"/>
    <d v="2011-02-06T00:00:00"/>
    <x v="0"/>
    <x v="0"/>
    <x v="1"/>
    <x v="20"/>
    <x v="0"/>
    <n v="0"/>
    <x v="1"/>
    <n v="1"/>
    <x v="0"/>
    <n v="0.28000000000000003"/>
    <n v="0.28789999999999999"/>
    <x v="0"/>
    <n v="0.61"/>
    <x v="1"/>
    <n v="0.1045"/>
    <x v="0"/>
    <x v="2"/>
    <x v="144"/>
    <x v="132"/>
  </r>
  <r>
    <n v="827"/>
    <d v="2011-02-06T00:00:00"/>
    <x v="0"/>
    <x v="0"/>
    <x v="1"/>
    <x v="21"/>
    <x v="0"/>
    <n v="0"/>
    <x v="1"/>
    <n v="1"/>
    <x v="0"/>
    <n v="0.26"/>
    <n v="0.30299999999999999"/>
    <x v="1"/>
    <n v="0.6"/>
    <x v="1"/>
    <n v="0"/>
    <x v="0"/>
    <x v="2"/>
    <x v="97"/>
    <x v="110"/>
  </r>
  <r>
    <n v="828"/>
    <d v="2011-02-06T00:00:00"/>
    <x v="0"/>
    <x v="0"/>
    <x v="1"/>
    <x v="22"/>
    <x v="0"/>
    <n v="0"/>
    <x v="1"/>
    <n v="1"/>
    <x v="0"/>
    <n v="0.26"/>
    <n v="0.30299999999999999"/>
    <x v="1"/>
    <n v="0.6"/>
    <x v="1"/>
    <n v="0"/>
    <x v="0"/>
    <x v="2"/>
    <x v="77"/>
    <x v="69"/>
  </r>
  <r>
    <n v="829"/>
    <d v="2011-02-06T00:00:00"/>
    <x v="0"/>
    <x v="0"/>
    <x v="1"/>
    <x v="23"/>
    <x v="0"/>
    <n v="0"/>
    <x v="1"/>
    <n v="1"/>
    <x v="0"/>
    <n v="0.24"/>
    <n v="0.28789999999999999"/>
    <x v="0"/>
    <n v="0.65"/>
    <x v="1"/>
    <n v="0"/>
    <x v="0"/>
    <x v="17"/>
    <x v="16"/>
    <x v="33"/>
  </r>
  <r>
    <n v="830"/>
    <d v="2011-02-07T00:00:00"/>
    <x v="0"/>
    <x v="0"/>
    <x v="1"/>
    <x v="0"/>
    <x v="0"/>
    <n v="1"/>
    <x v="2"/>
    <n v="1"/>
    <x v="0"/>
    <n v="0.24"/>
    <n v="0.28789999999999999"/>
    <x v="0"/>
    <n v="0.65"/>
    <x v="1"/>
    <n v="0"/>
    <x v="0"/>
    <x v="5"/>
    <x v="88"/>
    <x v="93"/>
  </r>
  <r>
    <n v="831"/>
    <d v="2011-02-07T00:00:00"/>
    <x v="0"/>
    <x v="0"/>
    <x v="1"/>
    <x v="1"/>
    <x v="0"/>
    <n v="1"/>
    <x v="2"/>
    <n v="1"/>
    <x v="0"/>
    <n v="0.22"/>
    <n v="0.2727"/>
    <x v="0"/>
    <n v="0.75"/>
    <x v="0"/>
    <n v="0"/>
    <x v="0"/>
    <x v="5"/>
    <x v="22"/>
    <x v="36"/>
  </r>
  <r>
    <n v="832"/>
    <d v="2011-02-07T00:00:00"/>
    <x v="0"/>
    <x v="0"/>
    <x v="1"/>
    <x v="2"/>
    <x v="0"/>
    <n v="1"/>
    <x v="2"/>
    <n v="1"/>
    <x v="0"/>
    <n v="0.2"/>
    <n v="0.2576"/>
    <x v="0"/>
    <n v="0.8"/>
    <x v="0"/>
    <n v="0"/>
    <x v="0"/>
    <x v="3"/>
    <x v="35"/>
    <x v="6"/>
  </r>
  <r>
    <n v="833"/>
    <d v="2011-02-07T00:00:00"/>
    <x v="0"/>
    <x v="0"/>
    <x v="1"/>
    <x v="3"/>
    <x v="0"/>
    <n v="1"/>
    <x v="2"/>
    <n v="1"/>
    <x v="0"/>
    <n v="0.2"/>
    <n v="0.2576"/>
    <x v="0"/>
    <n v="0.86"/>
    <x v="0"/>
    <n v="0"/>
    <x v="0"/>
    <x v="3"/>
    <x v="4"/>
    <x v="4"/>
  </r>
  <r>
    <n v="834"/>
    <d v="2011-02-07T00:00:00"/>
    <x v="0"/>
    <x v="0"/>
    <x v="1"/>
    <x v="4"/>
    <x v="0"/>
    <n v="1"/>
    <x v="2"/>
    <n v="1"/>
    <x v="0"/>
    <n v="0.2"/>
    <n v="0.2576"/>
    <x v="0"/>
    <n v="0.86"/>
    <x v="0"/>
    <n v="0"/>
    <x v="0"/>
    <x v="5"/>
    <x v="4"/>
    <x v="5"/>
  </r>
  <r>
    <n v="835"/>
    <d v="2011-02-07T00:00:00"/>
    <x v="0"/>
    <x v="0"/>
    <x v="1"/>
    <x v="5"/>
    <x v="0"/>
    <n v="1"/>
    <x v="2"/>
    <n v="1"/>
    <x v="0"/>
    <n v="0.2"/>
    <n v="0.2576"/>
    <x v="0"/>
    <n v="0.86"/>
    <x v="0"/>
    <n v="0"/>
    <x v="0"/>
    <x v="5"/>
    <x v="33"/>
    <x v="98"/>
  </r>
  <r>
    <n v="836"/>
    <d v="2011-02-07T00:00:00"/>
    <x v="0"/>
    <x v="0"/>
    <x v="1"/>
    <x v="6"/>
    <x v="0"/>
    <n v="1"/>
    <x v="2"/>
    <n v="1"/>
    <x v="0"/>
    <n v="0.18"/>
    <n v="0.2424"/>
    <x v="0"/>
    <n v="0.93"/>
    <x v="0"/>
    <n v="0"/>
    <x v="0"/>
    <x v="5"/>
    <x v="31"/>
    <x v="33"/>
  </r>
  <r>
    <n v="837"/>
    <d v="2011-02-07T00:00:00"/>
    <x v="0"/>
    <x v="0"/>
    <x v="1"/>
    <x v="7"/>
    <x v="0"/>
    <n v="1"/>
    <x v="2"/>
    <n v="1"/>
    <x v="0"/>
    <n v="0.18"/>
    <n v="0.2424"/>
    <x v="0"/>
    <n v="0.86"/>
    <x v="0"/>
    <n v="0"/>
    <x v="0"/>
    <x v="15"/>
    <x v="121"/>
    <x v="76"/>
  </r>
  <r>
    <n v="838"/>
    <d v="2011-02-07T00:00:00"/>
    <x v="0"/>
    <x v="0"/>
    <x v="1"/>
    <x v="8"/>
    <x v="0"/>
    <n v="1"/>
    <x v="2"/>
    <n v="2"/>
    <x v="1"/>
    <n v="0.16"/>
    <n v="0.2273"/>
    <x v="0"/>
    <n v="1"/>
    <x v="0"/>
    <n v="0"/>
    <x v="0"/>
    <x v="18"/>
    <x v="169"/>
    <x v="179"/>
  </r>
  <r>
    <n v="839"/>
    <d v="2011-02-07T00:00:00"/>
    <x v="0"/>
    <x v="0"/>
    <x v="1"/>
    <x v="9"/>
    <x v="0"/>
    <n v="1"/>
    <x v="2"/>
    <n v="1"/>
    <x v="0"/>
    <n v="0.22"/>
    <n v="0.2727"/>
    <x v="0"/>
    <n v="0.8"/>
    <x v="0"/>
    <n v="0"/>
    <x v="0"/>
    <x v="0"/>
    <x v="168"/>
    <x v="130"/>
  </r>
  <r>
    <n v="840"/>
    <d v="2011-02-07T00:00:00"/>
    <x v="0"/>
    <x v="0"/>
    <x v="1"/>
    <x v="10"/>
    <x v="0"/>
    <n v="1"/>
    <x v="2"/>
    <n v="1"/>
    <x v="0"/>
    <n v="0.24"/>
    <n v="0.2576"/>
    <x v="0"/>
    <n v="0.75"/>
    <x v="0"/>
    <n v="0.1045"/>
    <x v="0"/>
    <x v="15"/>
    <x v="47"/>
    <x v="97"/>
  </r>
  <r>
    <n v="841"/>
    <d v="2011-02-07T00:00:00"/>
    <x v="0"/>
    <x v="0"/>
    <x v="1"/>
    <x v="11"/>
    <x v="0"/>
    <n v="1"/>
    <x v="2"/>
    <n v="1"/>
    <x v="0"/>
    <n v="0.3"/>
    <n v="0.31819999999999998"/>
    <x v="1"/>
    <n v="0.65"/>
    <x v="1"/>
    <n v="8.9599999999999999E-2"/>
    <x v="0"/>
    <x v="16"/>
    <x v="49"/>
    <x v="105"/>
  </r>
  <r>
    <n v="842"/>
    <d v="2011-02-07T00:00:00"/>
    <x v="0"/>
    <x v="0"/>
    <x v="1"/>
    <x v="12"/>
    <x v="0"/>
    <n v="1"/>
    <x v="2"/>
    <n v="2"/>
    <x v="1"/>
    <n v="0.32"/>
    <n v="0.34849999999999998"/>
    <x v="1"/>
    <n v="0.62"/>
    <x v="1"/>
    <n v="0"/>
    <x v="0"/>
    <x v="18"/>
    <x v="79"/>
    <x v="180"/>
  </r>
  <r>
    <n v="843"/>
    <d v="2011-02-07T00:00:00"/>
    <x v="0"/>
    <x v="0"/>
    <x v="1"/>
    <x v="13"/>
    <x v="0"/>
    <n v="1"/>
    <x v="2"/>
    <n v="2"/>
    <x v="1"/>
    <n v="0.36"/>
    <n v="0.36359999999999998"/>
    <x v="1"/>
    <n v="0.56999999999999995"/>
    <x v="1"/>
    <n v="8.9599999999999999E-2"/>
    <x v="0"/>
    <x v="22"/>
    <x v="25"/>
    <x v="37"/>
  </r>
  <r>
    <n v="844"/>
    <d v="2011-02-07T00:00:00"/>
    <x v="0"/>
    <x v="0"/>
    <x v="1"/>
    <x v="14"/>
    <x v="0"/>
    <n v="1"/>
    <x v="2"/>
    <n v="2"/>
    <x v="1"/>
    <n v="0.36"/>
    <n v="0.36359999999999998"/>
    <x v="1"/>
    <n v="0.56999999999999995"/>
    <x v="1"/>
    <n v="8.9599999999999999E-2"/>
    <x v="0"/>
    <x v="1"/>
    <x v="15"/>
    <x v="122"/>
  </r>
  <r>
    <n v="845"/>
    <d v="2011-02-07T00:00:00"/>
    <x v="0"/>
    <x v="0"/>
    <x v="1"/>
    <x v="15"/>
    <x v="0"/>
    <n v="1"/>
    <x v="2"/>
    <n v="2"/>
    <x v="1"/>
    <n v="0.38"/>
    <n v="0.39389999999999997"/>
    <x v="1"/>
    <n v="0.54"/>
    <x v="1"/>
    <n v="8.9599999999999999E-2"/>
    <x v="0"/>
    <x v="17"/>
    <x v="24"/>
    <x v="89"/>
  </r>
  <r>
    <n v="846"/>
    <d v="2011-02-07T00:00:00"/>
    <x v="0"/>
    <x v="0"/>
    <x v="1"/>
    <x v="16"/>
    <x v="0"/>
    <n v="1"/>
    <x v="2"/>
    <n v="2"/>
    <x v="1"/>
    <n v="0.36"/>
    <n v="0.34849999999999998"/>
    <x v="1"/>
    <n v="0.56999999999999995"/>
    <x v="1"/>
    <n v="0.1343"/>
    <x v="0"/>
    <x v="19"/>
    <x v="52"/>
    <x v="181"/>
  </r>
  <r>
    <n v="847"/>
    <d v="2011-02-07T00:00:00"/>
    <x v="0"/>
    <x v="0"/>
    <x v="1"/>
    <x v="17"/>
    <x v="0"/>
    <n v="1"/>
    <x v="2"/>
    <n v="2"/>
    <x v="1"/>
    <n v="0.32"/>
    <n v="0.31819999999999998"/>
    <x v="1"/>
    <n v="0.7"/>
    <x v="0"/>
    <n v="0.16420000000000001"/>
    <x v="0"/>
    <x v="14"/>
    <x v="134"/>
    <x v="182"/>
  </r>
  <r>
    <n v="848"/>
    <d v="2011-02-07T00:00:00"/>
    <x v="0"/>
    <x v="0"/>
    <x v="1"/>
    <x v="18"/>
    <x v="0"/>
    <n v="1"/>
    <x v="2"/>
    <n v="2"/>
    <x v="1"/>
    <n v="0.34"/>
    <n v="0.33329999999999999"/>
    <x v="1"/>
    <n v="0.66"/>
    <x v="1"/>
    <n v="0.1343"/>
    <x v="0"/>
    <x v="2"/>
    <x v="162"/>
    <x v="172"/>
  </r>
  <r>
    <n v="849"/>
    <d v="2011-02-07T00:00:00"/>
    <x v="0"/>
    <x v="0"/>
    <x v="1"/>
    <x v="19"/>
    <x v="0"/>
    <n v="1"/>
    <x v="2"/>
    <n v="2"/>
    <x v="1"/>
    <n v="0.32"/>
    <n v="0.34849999999999998"/>
    <x v="1"/>
    <n v="0.7"/>
    <x v="0"/>
    <n v="0"/>
    <x v="0"/>
    <x v="2"/>
    <x v="170"/>
    <x v="116"/>
  </r>
  <r>
    <n v="850"/>
    <d v="2011-02-07T00:00:00"/>
    <x v="0"/>
    <x v="0"/>
    <x v="1"/>
    <x v="20"/>
    <x v="0"/>
    <n v="1"/>
    <x v="2"/>
    <n v="2"/>
    <x v="1"/>
    <n v="0.32"/>
    <n v="0.33329999999999999"/>
    <x v="1"/>
    <n v="0.7"/>
    <x v="0"/>
    <n v="0.1045"/>
    <x v="0"/>
    <x v="15"/>
    <x v="70"/>
    <x v="39"/>
  </r>
  <r>
    <n v="851"/>
    <d v="2011-02-07T00:00:00"/>
    <x v="0"/>
    <x v="0"/>
    <x v="1"/>
    <x v="21"/>
    <x v="0"/>
    <n v="1"/>
    <x v="2"/>
    <n v="1"/>
    <x v="0"/>
    <n v="0.32"/>
    <n v="0.34849999999999998"/>
    <x v="1"/>
    <n v="0.7"/>
    <x v="0"/>
    <n v="0"/>
    <x v="0"/>
    <x v="0"/>
    <x v="102"/>
    <x v="53"/>
  </r>
  <r>
    <n v="852"/>
    <d v="2011-02-07T00:00:00"/>
    <x v="0"/>
    <x v="0"/>
    <x v="1"/>
    <x v="22"/>
    <x v="0"/>
    <n v="1"/>
    <x v="2"/>
    <n v="1"/>
    <x v="0"/>
    <n v="0.28000000000000003"/>
    <n v="0.30299999999999999"/>
    <x v="1"/>
    <n v="0.81"/>
    <x v="0"/>
    <n v="8.9599999999999999E-2"/>
    <x v="0"/>
    <x v="0"/>
    <x v="60"/>
    <x v="18"/>
  </r>
  <r>
    <n v="853"/>
    <d v="2011-02-07T00:00:00"/>
    <x v="0"/>
    <x v="0"/>
    <x v="1"/>
    <x v="23"/>
    <x v="0"/>
    <n v="1"/>
    <x v="2"/>
    <n v="2"/>
    <x v="1"/>
    <n v="0.3"/>
    <n v="0.33329999999999999"/>
    <x v="1"/>
    <n v="0.81"/>
    <x v="0"/>
    <n v="0"/>
    <x v="0"/>
    <x v="15"/>
    <x v="23"/>
    <x v="94"/>
  </r>
  <r>
    <n v="854"/>
    <d v="2011-02-08T00:00:00"/>
    <x v="0"/>
    <x v="0"/>
    <x v="1"/>
    <x v="0"/>
    <x v="0"/>
    <n v="2"/>
    <x v="3"/>
    <n v="2"/>
    <x v="1"/>
    <n v="0.28000000000000003"/>
    <n v="0.31819999999999998"/>
    <x v="1"/>
    <n v="0.87"/>
    <x v="0"/>
    <n v="0"/>
    <x v="0"/>
    <x v="17"/>
    <x v="8"/>
    <x v="98"/>
  </r>
  <r>
    <n v="855"/>
    <d v="2011-02-08T00:00:00"/>
    <x v="0"/>
    <x v="0"/>
    <x v="1"/>
    <x v="1"/>
    <x v="0"/>
    <n v="2"/>
    <x v="3"/>
    <n v="2"/>
    <x v="1"/>
    <n v="0.28000000000000003"/>
    <n v="0.31819999999999998"/>
    <x v="1"/>
    <n v="0.87"/>
    <x v="0"/>
    <n v="0"/>
    <x v="0"/>
    <x v="3"/>
    <x v="22"/>
    <x v="48"/>
  </r>
  <r>
    <n v="856"/>
    <d v="2011-02-08T00:00:00"/>
    <x v="0"/>
    <x v="0"/>
    <x v="1"/>
    <x v="2"/>
    <x v="0"/>
    <n v="2"/>
    <x v="3"/>
    <n v="2"/>
    <x v="1"/>
    <n v="0.26"/>
    <n v="0.2727"/>
    <x v="0"/>
    <n v="0.93"/>
    <x v="0"/>
    <n v="0.1045"/>
    <x v="0"/>
    <x v="5"/>
    <x v="4"/>
    <x v="5"/>
  </r>
  <r>
    <n v="857"/>
    <d v="2011-02-08T00:00:00"/>
    <x v="0"/>
    <x v="0"/>
    <x v="1"/>
    <x v="3"/>
    <x v="0"/>
    <n v="2"/>
    <x v="3"/>
    <n v="3"/>
    <x v="2"/>
    <n v="0.28000000000000003"/>
    <n v="0.2727"/>
    <x v="0"/>
    <n v="0.93"/>
    <x v="0"/>
    <n v="0.16420000000000001"/>
    <x v="0"/>
    <x v="3"/>
    <x v="4"/>
    <x v="4"/>
  </r>
  <r>
    <n v="858"/>
    <d v="2011-02-08T00:00:00"/>
    <x v="0"/>
    <x v="0"/>
    <x v="1"/>
    <x v="4"/>
    <x v="0"/>
    <n v="2"/>
    <x v="3"/>
    <n v="1"/>
    <x v="0"/>
    <n v="0.26"/>
    <n v="0.2576"/>
    <x v="0"/>
    <n v="0.93"/>
    <x v="0"/>
    <n v="0.16420000000000001"/>
    <x v="0"/>
    <x v="3"/>
    <x v="35"/>
    <x v="6"/>
  </r>
  <r>
    <n v="859"/>
    <d v="2011-02-08T00:00:00"/>
    <x v="0"/>
    <x v="0"/>
    <x v="1"/>
    <x v="5"/>
    <x v="0"/>
    <n v="2"/>
    <x v="3"/>
    <n v="1"/>
    <x v="0"/>
    <n v="0.26"/>
    <n v="0.2273"/>
    <x v="0"/>
    <n v="0.81"/>
    <x v="0"/>
    <n v="0.32840000000000003"/>
    <x v="1"/>
    <x v="3"/>
    <x v="6"/>
    <x v="5"/>
  </r>
  <r>
    <n v="860"/>
    <d v="2011-02-08T00:00:00"/>
    <x v="0"/>
    <x v="0"/>
    <x v="1"/>
    <x v="6"/>
    <x v="0"/>
    <n v="2"/>
    <x v="3"/>
    <n v="1"/>
    <x v="0"/>
    <n v="0.26"/>
    <n v="0.2273"/>
    <x v="0"/>
    <n v="0.7"/>
    <x v="0"/>
    <n v="0.32840000000000003"/>
    <x v="1"/>
    <x v="3"/>
    <x v="87"/>
    <x v="21"/>
  </r>
  <r>
    <n v="861"/>
    <d v="2011-02-08T00:00:00"/>
    <x v="0"/>
    <x v="0"/>
    <x v="1"/>
    <x v="7"/>
    <x v="0"/>
    <n v="2"/>
    <x v="3"/>
    <n v="1"/>
    <x v="0"/>
    <n v="0.24"/>
    <n v="0.19700000000000001"/>
    <x v="0"/>
    <n v="0.65"/>
    <x v="1"/>
    <n v="0.41789999999999999"/>
    <x v="1"/>
    <x v="0"/>
    <x v="106"/>
    <x v="50"/>
  </r>
  <r>
    <n v="862"/>
    <d v="2011-02-08T00:00:00"/>
    <x v="0"/>
    <x v="0"/>
    <x v="1"/>
    <x v="8"/>
    <x v="0"/>
    <n v="2"/>
    <x v="3"/>
    <n v="1"/>
    <x v="0"/>
    <n v="0.24"/>
    <n v="0.19700000000000001"/>
    <x v="0"/>
    <n v="0.56000000000000005"/>
    <x v="1"/>
    <n v="0.49249999999999999"/>
    <x v="1"/>
    <x v="18"/>
    <x v="171"/>
    <x v="183"/>
  </r>
  <r>
    <n v="863"/>
    <d v="2011-02-08T00:00:00"/>
    <x v="0"/>
    <x v="0"/>
    <x v="1"/>
    <x v="9"/>
    <x v="0"/>
    <n v="2"/>
    <x v="3"/>
    <n v="1"/>
    <x v="0"/>
    <n v="0.24"/>
    <n v="0.19700000000000001"/>
    <x v="0"/>
    <n v="0.52"/>
    <x v="1"/>
    <n v="0.49249999999999999"/>
    <x v="1"/>
    <x v="18"/>
    <x v="172"/>
    <x v="169"/>
  </r>
  <r>
    <n v="864"/>
    <d v="2011-02-08T00:00:00"/>
    <x v="0"/>
    <x v="0"/>
    <x v="1"/>
    <x v="10"/>
    <x v="0"/>
    <n v="2"/>
    <x v="3"/>
    <n v="1"/>
    <x v="0"/>
    <n v="0.22"/>
    <n v="0.18179999999999999"/>
    <x v="0"/>
    <n v="0.47"/>
    <x v="1"/>
    <n v="0.55220000000000002"/>
    <x v="2"/>
    <x v="17"/>
    <x v="100"/>
    <x v="61"/>
  </r>
  <r>
    <n v="865"/>
    <d v="2011-02-08T00:00:00"/>
    <x v="0"/>
    <x v="0"/>
    <x v="1"/>
    <x v="11"/>
    <x v="0"/>
    <n v="2"/>
    <x v="3"/>
    <n v="1"/>
    <x v="0"/>
    <n v="0.22"/>
    <n v="0.18179999999999999"/>
    <x v="0"/>
    <n v="0.47"/>
    <x v="1"/>
    <n v="0.4627"/>
    <x v="1"/>
    <x v="5"/>
    <x v="47"/>
    <x v="89"/>
  </r>
  <r>
    <n v="866"/>
    <d v="2011-02-08T00:00:00"/>
    <x v="0"/>
    <x v="0"/>
    <x v="1"/>
    <x v="12"/>
    <x v="0"/>
    <n v="2"/>
    <x v="3"/>
    <n v="1"/>
    <x v="0"/>
    <n v="0.24"/>
    <n v="0.19700000000000001"/>
    <x v="0"/>
    <n v="0.38"/>
    <x v="2"/>
    <n v="0.49249999999999999"/>
    <x v="1"/>
    <x v="4"/>
    <x v="36"/>
    <x v="32"/>
  </r>
  <r>
    <n v="867"/>
    <d v="2011-02-08T00:00:00"/>
    <x v="0"/>
    <x v="0"/>
    <x v="1"/>
    <x v="13"/>
    <x v="0"/>
    <n v="2"/>
    <x v="3"/>
    <n v="2"/>
    <x v="1"/>
    <n v="0.24"/>
    <n v="0.19700000000000001"/>
    <x v="0"/>
    <n v="0.32"/>
    <x v="2"/>
    <n v="0.44779999999999998"/>
    <x v="1"/>
    <x v="4"/>
    <x v="41"/>
    <x v="89"/>
  </r>
  <r>
    <n v="868"/>
    <d v="2011-02-08T00:00:00"/>
    <x v="0"/>
    <x v="0"/>
    <x v="1"/>
    <x v="14"/>
    <x v="0"/>
    <n v="2"/>
    <x v="3"/>
    <n v="1"/>
    <x v="0"/>
    <n v="0.22"/>
    <n v="0.19700000000000001"/>
    <x v="0"/>
    <n v="0.37"/>
    <x v="2"/>
    <n v="0.41789999999999999"/>
    <x v="1"/>
    <x v="0"/>
    <x v="124"/>
    <x v="37"/>
  </r>
  <r>
    <n v="869"/>
    <d v="2011-02-08T00:00:00"/>
    <x v="0"/>
    <x v="0"/>
    <x v="1"/>
    <x v="15"/>
    <x v="0"/>
    <n v="2"/>
    <x v="3"/>
    <n v="1"/>
    <x v="0"/>
    <n v="0.22"/>
    <n v="0.19700000000000001"/>
    <x v="0"/>
    <n v="0.35"/>
    <x v="2"/>
    <n v="0.3881"/>
    <x v="1"/>
    <x v="15"/>
    <x v="108"/>
    <x v="41"/>
  </r>
  <r>
    <n v="870"/>
    <d v="2011-02-08T00:00:00"/>
    <x v="0"/>
    <x v="0"/>
    <x v="1"/>
    <x v="16"/>
    <x v="0"/>
    <n v="2"/>
    <x v="3"/>
    <n v="1"/>
    <x v="0"/>
    <n v="0.22"/>
    <n v="0.18179999999999999"/>
    <x v="0"/>
    <n v="0.35"/>
    <x v="2"/>
    <n v="0.52239999999999998"/>
    <x v="2"/>
    <x v="17"/>
    <x v="55"/>
    <x v="56"/>
  </r>
  <r>
    <n v="871"/>
    <d v="2011-02-08T00:00:00"/>
    <x v="0"/>
    <x v="0"/>
    <x v="1"/>
    <x v="17"/>
    <x v="0"/>
    <n v="2"/>
    <x v="3"/>
    <n v="1"/>
    <x v="0"/>
    <n v="0.22"/>
    <n v="0.18179999999999999"/>
    <x v="0"/>
    <n v="0.32"/>
    <x v="2"/>
    <n v="0.58209999999999995"/>
    <x v="2"/>
    <x v="17"/>
    <x v="157"/>
    <x v="170"/>
  </r>
  <r>
    <n v="872"/>
    <d v="2011-02-08T00:00:00"/>
    <x v="0"/>
    <x v="0"/>
    <x v="1"/>
    <x v="18"/>
    <x v="0"/>
    <n v="2"/>
    <x v="3"/>
    <n v="1"/>
    <x v="0"/>
    <n v="0.2"/>
    <n v="0.18179999999999999"/>
    <x v="0"/>
    <n v="0.32"/>
    <x v="2"/>
    <n v="0.3881"/>
    <x v="1"/>
    <x v="5"/>
    <x v="137"/>
    <x v="148"/>
  </r>
  <r>
    <n v="873"/>
    <d v="2011-02-08T00:00:00"/>
    <x v="0"/>
    <x v="0"/>
    <x v="1"/>
    <x v="19"/>
    <x v="0"/>
    <n v="2"/>
    <x v="3"/>
    <n v="1"/>
    <x v="0"/>
    <n v="0.16"/>
    <n v="0.1212"/>
    <x v="0"/>
    <n v="0.4"/>
    <x v="1"/>
    <n v="0.4627"/>
    <x v="1"/>
    <x v="5"/>
    <x v="129"/>
    <x v="129"/>
  </r>
  <r>
    <n v="874"/>
    <d v="2011-02-08T00:00:00"/>
    <x v="0"/>
    <x v="0"/>
    <x v="1"/>
    <x v="20"/>
    <x v="0"/>
    <n v="2"/>
    <x v="3"/>
    <n v="1"/>
    <x v="0"/>
    <n v="0.16"/>
    <n v="0.13639999999999999"/>
    <x v="0"/>
    <n v="0.4"/>
    <x v="1"/>
    <n v="0.32840000000000003"/>
    <x v="1"/>
    <x v="0"/>
    <x v="42"/>
    <x v="10"/>
  </r>
  <r>
    <n v="875"/>
    <d v="2011-02-08T00:00:00"/>
    <x v="0"/>
    <x v="0"/>
    <x v="1"/>
    <x v="21"/>
    <x v="0"/>
    <n v="2"/>
    <x v="3"/>
    <n v="1"/>
    <x v="0"/>
    <n v="0.14000000000000001"/>
    <n v="0.1061"/>
    <x v="0"/>
    <n v="0.33"/>
    <x v="2"/>
    <n v="0.4627"/>
    <x v="1"/>
    <x v="1"/>
    <x v="24"/>
    <x v="60"/>
  </r>
  <r>
    <n v="876"/>
    <d v="2011-02-08T00:00:00"/>
    <x v="0"/>
    <x v="0"/>
    <x v="1"/>
    <x v="22"/>
    <x v="0"/>
    <n v="2"/>
    <x v="3"/>
    <n v="1"/>
    <x v="0"/>
    <n v="0.12"/>
    <n v="0.1061"/>
    <x v="0"/>
    <n v="0.33"/>
    <x v="2"/>
    <n v="0.35820000000000002"/>
    <x v="1"/>
    <x v="3"/>
    <x v="31"/>
    <x v="115"/>
  </r>
  <r>
    <n v="877"/>
    <d v="2011-02-08T00:00:00"/>
    <x v="0"/>
    <x v="0"/>
    <x v="1"/>
    <x v="23"/>
    <x v="0"/>
    <n v="2"/>
    <x v="3"/>
    <n v="1"/>
    <x v="0"/>
    <n v="0.12"/>
    <n v="0.1061"/>
    <x v="0"/>
    <n v="0.33"/>
    <x v="2"/>
    <n v="0.32840000000000003"/>
    <x v="1"/>
    <x v="0"/>
    <x v="33"/>
    <x v="47"/>
  </r>
  <r>
    <n v="878"/>
    <d v="2011-02-09T00:00:00"/>
    <x v="0"/>
    <x v="0"/>
    <x v="1"/>
    <x v="0"/>
    <x v="0"/>
    <n v="3"/>
    <x v="4"/>
    <n v="1"/>
    <x v="0"/>
    <n v="0.1"/>
    <n v="7.5800000000000006E-2"/>
    <x v="0"/>
    <n v="0.36"/>
    <x v="2"/>
    <n v="0.35820000000000002"/>
    <x v="1"/>
    <x v="3"/>
    <x v="19"/>
    <x v="22"/>
  </r>
  <r>
    <n v="879"/>
    <d v="2011-02-09T00:00:00"/>
    <x v="0"/>
    <x v="0"/>
    <x v="1"/>
    <x v="1"/>
    <x v="0"/>
    <n v="3"/>
    <x v="4"/>
    <n v="1"/>
    <x v="0"/>
    <n v="0.1"/>
    <n v="0.1061"/>
    <x v="0"/>
    <n v="0.36"/>
    <x v="2"/>
    <n v="0.22389999999999999"/>
    <x v="1"/>
    <x v="3"/>
    <x v="7"/>
    <x v="85"/>
  </r>
  <r>
    <n v="880"/>
    <d v="2011-02-09T00:00:00"/>
    <x v="0"/>
    <x v="0"/>
    <x v="1"/>
    <x v="2"/>
    <x v="0"/>
    <n v="3"/>
    <x v="4"/>
    <n v="1"/>
    <x v="0"/>
    <n v="0.08"/>
    <n v="7.5800000000000006E-2"/>
    <x v="0"/>
    <n v="0.38"/>
    <x v="2"/>
    <n v="0.28360000000000002"/>
    <x v="1"/>
    <x v="5"/>
    <x v="6"/>
    <x v="6"/>
  </r>
  <r>
    <n v="881"/>
    <d v="2011-02-09T00:00:00"/>
    <x v="0"/>
    <x v="0"/>
    <x v="1"/>
    <x v="3"/>
    <x v="0"/>
    <n v="3"/>
    <x v="4"/>
    <n v="1"/>
    <x v="0"/>
    <n v="0.06"/>
    <n v="7.5800000000000006E-2"/>
    <x v="0"/>
    <n v="0.45"/>
    <x v="1"/>
    <n v="0.1343"/>
    <x v="0"/>
    <x v="3"/>
    <x v="6"/>
    <x v="5"/>
  </r>
  <r>
    <n v="882"/>
    <d v="2011-02-09T00:00:00"/>
    <x v="0"/>
    <x v="0"/>
    <x v="1"/>
    <x v="5"/>
    <x v="0"/>
    <n v="3"/>
    <x v="4"/>
    <n v="1"/>
    <x v="0"/>
    <n v="0.06"/>
    <n v="0.1061"/>
    <x v="0"/>
    <n v="0.45"/>
    <x v="1"/>
    <n v="0.1045"/>
    <x v="0"/>
    <x v="3"/>
    <x v="7"/>
    <x v="85"/>
  </r>
  <r>
    <n v="883"/>
    <d v="2011-02-09T00:00:00"/>
    <x v="0"/>
    <x v="0"/>
    <x v="1"/>
    <x v="6"/>
    <x v="0"/>
    <n v="3"/>
    <x v="4"/>
    <n v="1"/>
    <x v="0"/>
    <n v="0.06"/>
    <n v="0.1515"/>
    <x v="0"/>
    <n v="0.45"/>
    <x v="1"/>
    <n v="0"/>
    <x v="0"/>
    <x v="3"/>
    <x v="30"/>
    <x v="74"/>
  </r>
  <r>
    <n v="884"/>
    <d v="2011-02-09T00:00:00"/>
    <x v="0"/>
    <x v="0"/>
    <x v="1"/>
    <x v="7"/>
    <x v="0"/>
    <n v="3"/>
    <x v="4"/>
    <n v="1"/>
    <x v="0"/>
    <n v="0.06"/>
    <n v="0.1061"/>
    <x v="0"/>
    <n v="0.49"/>
    <x v="1"/>
    <n v="0.1045"/>
    <x v="0"/>
    <x v="17"/>
    <x v="73"/>
    <x v="111"/>
  </r>
  <r>
    <n v="885"/>
    <d v="2011-02-09T00:00:00"/>
    <x v="0"/>
    <x v="0"/>
    <x v="1"/>
    <x v="8"/>
    <x v="0"/>
    <n v="3"/>
    <x v="4"/>
    <n v="1"/>
    <x v="0"/>
    <n v="0.1"/>
    <n v="0.13639999999999999"/>
    <x v="0"/>
    <n v="0.42"/>
    <x v="1"/>
    <n v="0"/>
    <x v="0"/>
    <x v="5"/>
    <x v="173"/>
    <x v="184"/>
  </r>
  <r>
    <n v="886"/>
    <d v="2011-02-09T00:00:00"/>
    <x v="0"/>
    <x v="0"/>
    <x v="1"/>
    <x v="9"/>
    <x v="0"/>
    <n v="3"/>
    <x v="4"/>
    <n v="1"/>
    <x v="0"/>
    <n v="0.12"/>
    <n v="0.13639999999999999"/>
    <x v="0"/>
    <n v="0.39"/>
    <x v="2"/>
    <n v="0.16420000000000001"/>
    <x v="0"/>
    <x v="17"/>
    <x v="138"/>
    <x v="92"/>
  </r>
  <r>
    <n v="887"/>
    <d v="2011-02-09T00:00:00"/>
    <x v="0"/>
    <x v="0"/>
    <x v="1"/>
    <x v="10"/>
    <x v="0"/>
    <n v="3"/>
    <x v="4"/>
    <n v="1"/>
    <x v="0"/>
    <n v="0.14000000000000001"/>
    <n v="0.18179999999999999"/>
    <x v="0"/>
    <n v="0.36"/>
    <x v="2"/>
    <n v="0"/>
    <x v="0"/>
    <x v="1"/>
    <x v="82"/>
    <x v="29"/>
  </r>
  <r>
    <n v="888"/>
    <d v="2011-02-09T00:00:00"/>
    <x v="0"/>
    <x v="0"/>
    <x v="1"/>
    <x v="11"/>
    <x v="0"/>
    <n v="3"/>
    <x v="4"/>
    <n v="2"/>
    <x v="1"/>
    <n v="0.14000000000000001"/>
    <n v="0.1515"/>
    <x v="0"/>
    <n v="0.43"/>
    <x v="1"/>
    <n v="0.16420000000000001"/>
    <x v="0"/>
    <x v="5"/>
    <x v="71"/>
    <x v="102"/>
  </r>
  <r>
    <n v="889"/>
    <d v="2011-02-09T00:00:00"/>
    <x v="0"/>
    <x v="0"/>
    <x v="1"/>
    <x v="12"/>
    <x v="0"/>
    <n v="3"/>
    <x v="4"/>
    <n v="2"/>
    <x v="1"/>
    <n v="0.18"/>
    <n v="0.18179999999999999"/>
    <x v="0"/>
    <n v="0.4"/>
    <x v="1"/>
    <n v="0.22389999999999999"/>
    <x v="1"/>
    <x v="17"/>
    <x v="77"/>
    <x v="42"/>
  </r>
  <r>
    <n v="890"/>
    <d v="2011-02-09T00:00:00"/>
    <x v="0"/>
    <x v="0"/>
    <x v="1"/>
    <x v="13"/>
    <x v="0"/>
    <n v="3"/>
    <x v="4"/>
    <n v="1"/>
    <x v="0"/>
    <n v="0.18"/>
    <n v="0.16669999999999999"/>
    <x v="0"/>
    <n v="0.4"/>
    <x v="1"/>
    <n v="0.25369999999999998"/>
    <x v="1"/>
    <x v="4"/>
    <x v="28"/>
    <x v="83"/>
  </r>
  <r>
    <n v="891"/>
    <d v="2011-02-09T00:00:00"/>
    <x v="0"/>
    <x v="0"/>
    <x v="1"/>
    <x v="14"/>
    <x v="0"/>
    <n v="3"/>
    <x v="4"/>
    <n v="1"/>
    <x v="0"/>
    <n v="0.2"/>
    <n v="0.18179999999999999"/>
    <x v="0"/>
    <n v="0.34"/>
    <x v="2"/>
    <n v="0.29849999999999999"/>
    <x v="1"/>
    <x v="4"/>
    <x v="90"/>
    <x v="154"/>
  </r>
  <r>
    <n v="892"/>
    <d v="2011-02-09T00:00:00"/>
    <x v="0"/>
    <x v="0"/>
    <x v="1"/>
    <x v="15"/>
    <x v="0"/>
    <n v="3"/>
    <x v="4"/>
    <n v="2"/>
    <x v="1"/>
    <n v="0.2"/>
    <n v="0.18179999999999999"/>
    <x v="0"/>
    <n v="0.34"/>
    <x v="2"/>
    <n v="0.28360000000000002"/>
    <x v="1"/>
    <x v="0"/>
    <x v="124"/>
    <x v="37"/>
  </r>
  <r>
    <n v="893"/>
    <d v="2011-02-09T00:00:00"/>
    <x v="0"/>
    <x v="0"/>
    <x v="1"/>
    <x v="16"/>
    <x v="0"/>
    <n v="3"/>
    <x v="4"/>
    <n v="2"/>
    <x v="1"/>
    <n v="0.2"/>
    <n v="0.19700000000000001"/>
    <x v="0"/>
    <n v="0.37"/>
    <x v="2"/>
    <n v="0.25369999999999998"/>
    <x v="1"/>
    <x v="18"/>
    <x v="109"/>
    <x v="67"/>
  </r>
  <r>
    <n v="894"/>
    <d v="2011-02-09T00:00:00"/>
    <x v="0"/>
    <x v="0"/>
    <x v="1"/>
    <x v="17"/>
    <x v="0"/>
    <n v="3"/>
    <x v="4"/>
    <n v="2"/>
    <x v="1"/>
    <n v="0.2"/>
    <n v="0.19700000000000001"/>
    <x v="0"/>
    <n v="0.34"/>
    <x v="2"/>
    <n v="0.25369999999999998"/>
    <x v="1"/>
    <x v="14"/>
    <x v="174"/>
    <x v="150"/>
  </r>
  <r>
    <n v="895"/>
    <d v="2011-02-09T00:00:00"/>
    <x v="0"/>
    <x v="0"/>
    <x v="1"/>
    <x v="18"/>
    <x v="0"/>
    <n v="3"/>
    <x v="4"/>
    <n v="2"/>
    <x v="1"/>
    <n v="0.18"/>
    <n v="0.16669999999999999"/>
    <x v="0"/>
    <n v="0.47"/>
    <x v="1"/>
    <n v="0.29849999999999999"/>
    <x v="1"/>
    <x v="4"/>
    <x v="175"/>
    <x v="185"/>
  </r>
  <r>
    <n v="896"/>
    <d v="2011-02-09T00:00:00"/>
    <x v="0"/>
    <x v="0"/>
    <x v="1"/>
    <x v="19"/>
    <x v="0"/>
    <n v="3"/>
    <x v="4"/>
    <n v="3"/>
    <x v="2"/>
    <n v="0.14000000000000001"/>
    <n v="0.1212"/>
    <x v="0"/>
    <n v="0.86"/>
    <x v="0"/>
    <n v="0.25369999999999998"/>
    <x v="1"/>
    <x v="5"/>
    <x v="61"/>
    <x v="39"/>
  </r>
  <r>
    <n v="897"/>
    <d v="2011-02-09T00:00:00"/>
    <x v="0"/>
    <x v="0"/>
    <x v="1"/>
    <x v="20"/>
    <x v="0"/>
    <n v="3"/>
    <x v="4"/>
    <n v="3"/>
    <x v="2"/>
    <n v="0.14000000000000001"/>
    <n v="0.1515"/>
    <x v="0"/>
    <n v="0.86"/>
    <x v="0"/>
    <n v="0.16420000000000001"/>
    <x v="0"/>
    <x v="3"/>
    <x v="151"/>
    <x v="11"/>
  </r>
  <r>
    <n v="898"/>
    <d v="2011-02-09T00:00:00"/>
    <x v="0"/>
    <x v="0"/>
    <x v="1"/>
    <x v="21"/>
    <x v="0"/>
    <n v="3"/>
    <x v="4"/>
    <n v="2"/>
    <x v="1"/>
    <n v="0.14000000000000001"/>
    <n v="0.1515"/>
    <x v="0"/>
    <n v="0.86"/>
    <x v="0"/>
    <n v="0.16420000000000001"/>
    <x v="0"/>
    <x v="3"/>
    <x v="93"/>
    <x v="56"/>
  </r>
  <r>
    <n v="899"/>
    <d v="2011-02-09T00:00:00"/>
    <x v="0"/>
    <x v="0"/>
    <x v="1"/>
    <x v="22"/>
    <x v="0"/>
    <n v="3"/>
    <x v="4"/>
    <n v="3"/>
    <x v="2"/>
    <n v="0.16"/>
    <n v="0.16669999999999999"/>
    <x v="0"/>
    <n v="0.8"/>
    <x v="0"/>
    <n v="0.16420000000000001"/>
    <x v="0"/>
    <x v="17"/>
    <x v="76"/>
    <x v="66"/>
  </r>
  <r>
    <n v="900"/>
    <d v="2011-02-09T00:00:00"/>
    <x v="0"/>
    <x v="0"/>
    <x v="1"/>
    <x v="23"/>
    <x v="0"/>
    <n v="3"/>
    <x v="4"/>
    <n v="3"/>
    <x v="2"/>
    <n v="0.16"/>
    <n v="0.1515"/>
    <x v="0"/>
    <n v="0.8"/>
    <x v="0"/>
    <n v="0.19400000000000001"/>
    <x v="0"/>
    <x v="3"/>
    <x v="53"/>
    <x v="18"/>
  </r>
  <r>
    <n v="901"/>
    <d v="2011-02-10T00:00:00"/>
    <x v="0"/>
    <x v="0"/>
    <x v="1"/>
    <x v="0"/>
    <x v="0"/>
    <n v="4"/>
    <x v="5"/>
    <n v="3"/>
    <x v="2"/>
    <n v="0.14000000000000001"/>
    <n v="0.13639999999999999"/>
    <x v="0"/>
    <n v="0.86"/>
    <x v="0"/>
    <n v="0.19400000000000001"/>
    <x v="0"/>
    <x v="3"/>
    <x v="20"/>
    <x v="0"/>
  </r>
  <r>
    <n v="902"/>
    <d v="2011-02-10T00:00:00"/>
    <x v="0"/>
    <x v="0"/>
    <x v="1"/>
    <x v="1"/>
    <x v="0"/>
    <n v="4"/>
    <x v="5"/>
    <n v="3"/>
    <x v="2"/>
    <n v="0.14000000000000001"/>
    <n v="0.1515"/>
    <x v="0"/>
    <n v="0.8"/>
    <x v="0"/>
    <n v="0.1343"/>
    <x v="0"/>
    <x v="3"/>
    <x v="7"/>
    <x v="85"/>
  </r>
  <r>
    <n v="903"/>
    <d v="2011-02-10T00:00:00"/>
    <x v="0"/>
    <x v="0"/>
    <x v="1"/>
    <x v="2"/>
    <x v="0"/>
    <n v="4"/>
    <x v="5"/>
    <n v="3"/>
    <x v="2"/>
    <n v="0.14000000000000001"/>
    <n v="0.1515"/>
    <x v="0"/>
    <n v="0.8"/>
    <x v="0"/>
    <n v="0.1343"/>
    <x v="0"/>
    <x v="3"/>
    <x v="35"/>
    <x v="6"/>
  </r>
  <r>
    <n v="904"/>
    <d v="2011-02-10T00:00:00"/>
    <x v="0"/>
    <x v="0"/>
    <x v="1"/>
    <x v="4"/>
    <x v="0"/>
    <n v="4"/>
    <x v="5"/>
    <n v="2"/>
    <x v="1"/>
    <n v="0.14000000000000001"/>
    <n v="0.13639999999999999"/>
    <x v="0"/>
    <n v="0.59"/>
    <x v="1"/>
    <n v="0.22389999999999999"/>
    <x v="1"/>
    <x v="3"/>
    <x v="4"/>
    <x v="4"/>
  </r>
  <r>
    <n v="905"/>
    <d v="2011-02-10T00:00:00"/>
    <x v="0"/>
    <x v="0"/>
    <x v="1"/>
    <x v="5"/>
    <x v="0"/>
    <n v="4"/>
    <x v="5"/>
    <n v="2"/>
    <x v="1"/>
    <n v="0.12"/>
    <n v="0.1212"/>
    <x v="0"/>
    <n v="0.5"/>
    <x v="1"/>
    <n v="0.22389999999999999"/>
    <x v="1"/>
    <x v="3"/>
    <x v="8"/>
    <x v="24"/>
  </r>
  <r>
    <n v="906"/>
    <d v="2011-02-10T00:00:00"/>
    <x v="0"/>
    <x v="0"/>
    <x v="1"/>
    <x v="6"/>
    <x v="0"/>
    <n v="4"/>
    <x v="5"/>
    <n v="2"/>
    <x v="1"/>
    <n v="0.12"/>
    <n v="0.1212"/>
    <x v="0"/>
    <n v="0.54"/>
    <x v="1"/>
    <n v="0.28360000000000002"/>
    <x v="1"/>
    <x v="3"/>
    <x v="16"/>
    <x v="132"/>
  </r>
  <r>
    <n v="907"/>
    <d v="2011-02-10T00:00:00"/>
    <x v="0"/>
    <x v="0"/>
    <x v="1"/>
    <x v="7"/>
    <x v="0"/>
    <n v="4"/>
    <x v="5"/>
    <n v="1"/>
    <x v="0"/>
    <n v="0.1"/>
    <n v="7.5800000000000006E-2"/>
    <x v="0"/>
    <n v="0.5"/>
    <x v="1"/>
    <n v="0.41789999999999999"/>
    <x v="1"/>
    <x v="3"/>
    <x v="176"/>
    <x v="111"/>
  </r>
  <r>
    <n v="908"/>
    <d v="2011-02-10T00:00:00"/>
    <x v="0"/>
    <x v="0"/>
    <x v="1"/>
    <x v="8"/>
    <x v="0"/>
    <n v="4"/>
    <x v="5"/>
    <n v="1"/>
    <x v="0"/>
    <n v="0.1"/>
    <n v="7.5800000000000006E-2"/>
    <x v="0"/>
    <n v="0.49"/>
    <x v="1"/>
    <n v="0.32840000000000003"/>
    <x v="1"/>
    <x v="2"/>
    <x v="177"/>
    <x v="106"/>
  </r>
  <r>
    <n v="909"/>
    <d v="2011-02-10T00:00:00"/>
    <x v="0"/>
    <x v="0"/>
    <x v="1"/>
    <x v="9"/>
    <x v="0"/>
    <n v="4"/>
    <x v="5"/>
    <n v="1"/>
    <x v="0"/>
    <n v="0.12"/>
    <n v="0.1061"/>
    <x v="0"/>
    <n v="0.42"/>
    <x v="1"/>
    <n v="0.35820000000000002"/>
    <x v="1"/>
    <x v="5"/>
    <x v="178"/>
    <x v="78"/>
  </r>
  <r>
    <n v="910"/>
    <d v="2011-02-10T00:00:00"/>
    <x v="0"/>
    <x v="0"/>
    <x v="1"/>
    <x v="10"/>
    <x v="0"/>
    <n v="4"/>
    <x v="5"/>
    <n v="1"/>
    <x v="0"/>
    <n v="0.12"/>
    <n v="0.1061"/>
    <x v="0"/>
    <n v="0.42"/>
    <x v="1"/>
    <n v="0.29849999999999999"/>
    <x v="1"/>
    <x v="5"/>
    <x v="60"/>
    <x v="17"/>
  </r>
  <r>
    <n v="911"/>
    <d v="2011-02-10T00:00:00"/>
    <x v="0"/>
    <x v="0"/>
    <x v="1"/>
    <x v="11"/>
    <x v="0"/>
    <n v="4"/>
    <x v="5"/>
    <n v="1"/>
    <x v="0"/>
    <n v="0.14000000000000001"/>
    <n v="0.1212"/>
    <x v="0"/>
    <n v="0.39"/>
    <x v="2"/>
    <n v="0.35820000000000002"/>
    <x v="1"/>
    <x v="5"/>
    <x v="100"/>
    <x v="79"/>
  </r>
  <r>
    <n v="912"/>
    <d v="2011-02-10T00:00:00"/>
    <x v="0"/>
    <x v="0"/>
    <x v="1"/>
    <x v="12"/>
    <x v="0"/>
    <n v="4"/>
    <x v="5"/>
    <n v="1"/>
    <x v="0"/>
    <n v="0.16"/>
    <n v="0.13639999999999999"/>
    <x v="0"/>
    <n v="0.34"/>
    <x v="2"/>
    <n v="0.3881"/>
    <x v="1"/>
    <x v="17"/>
    <x v="65"/>
    <x v="83"/>
  </r>
  <r>
    <n v="913"/>
    <d v="2011-02-10T00:00:00"/>
    <x v="0"/>
    <x v="0"/>
    <x v="1"/>
    <x v="13"/>
    <x v="0"/>
    <n v="4"/>
    <x v="5"/>
    <n v="1"/>
    <x v="0"/>
    <n v="0.18"/>
    <n v="0.16669999999999999"/>
    <x v="0"/>
    <n v="0.28999999999999998"/>
    <x v="2"/>
    <n v="0.29849999999999999"/>
    <x v="1"/>
    <x v="0"/>
    <x v="79"/>
    <x v="69"/>
  </r>
  <r>
    <n v="914"/>
    <d v="2011-02-10T00:00:00"/>
    <x v="0"/>
    <x v="0"/>
    <x v="1"/>
    <x v="14"/>
    <x v="0"/>
    <n v="4"/>
    <x v="5"/>
    <n v="1"/>
    <x v="0"/>
    <n v="0.2"/>
    <n v="0.18179999999999999"/>
    <x v="0"/>
    <n v="0.27"/>
    <x v="2"/>
    <n v="0.28360000000000002"/>
    <x v="1"/>
    <x v="15"/>
    <x v="76"/>
    <x v="61"/>
  </r>
  <r>
    <n v="915"/>
    <d v="2011-02-10T00:00:00"/>
    <x v="0"/>
    <x v="0"/>
    <x v="1"/>
    <x v="15"/>
    <x v="0"/>
    <n v="4"/>
    <x v="5"/>
    <n v="1"/>
    <x v="0"/>
    <n v="0.2"/>
    <n v="0.19700000000000001"/>
    <x v="0"/>
    <n v="0.25"/>
    <x v="2"/>
    <n v="0.25369999999999998"/>
    <x v="1"/>
    <x v="3"/>
    <x v="54"/>
    <x v="89"/>
  </r>
  <r>
    <n v="916"/>
    <d v="2011-02-10T00:00:00"/>
    <x v="0"/>
    <x v="0"/>
    <x v="1"/>
    <x v="16"/>
    <x v="0"/>
    <n v="4"/>
    <x v="5"/>
    <n v="1"/>
    <x v="0"/>
    <n v="0.2"/>
    <n v="0.18179999999999999"/>
    <x v="0"/>
    <n v="0.27"/>
    <x v="2"/>
    <n v="0.29849999999999999"/>
    <x v="1"/>
    <x v="17"/>
    <x v="83"/>
    <x v="138"/>
  </r>
  <r>
    <n v="917"/>
    <d v="2011-02-10T00:00:00"/>
    <x v="0"/>
    <x v="0"/>
    <x v="1"/>
    <x v="17"/>
    <x v="0"/>
    <n v="4"/>
    <x v="5"/>
    <n v="1"/>
    <x v="0"/>
    <n v="0.18"/>
    <n v="0.18179999999999999"/>
    <x v="0"/>
    <n v="0.26"/>
    <x v="2"/>
    <n v="0.19400000000000001"/>
    <x v="0"/>
    <x v="15"/>
    <x v="136"/>
    <x v="186"/>
  </r>
  <r>
    <n v="918"/>
    <d v="2011-02-10T00:00:00"/>
    <x v="0"/>
    <x v="0"/>
    <x v="1"/>
    <x v="18"/>
    <x v="0"/>
    <n v="4"/>
    <x v="5"/>
    <n v="1"/>
    <x v="0"/>
    <n v="0.16"/>
    <n v="0.18179999999999999"/>
    <x v="0"/>
    <n v="0.28000000000000003"/>
    <x v="2"/>
    <n v="0.1343"/>
    <x v="0"/>
    <x v="0"/>
    <x v="174"/>
    <x v="187"/>
  </r>
  <r>
    <n v="919"/>
    <d v="2011-02-10T00:00:00"/>
    <x v="0"/>
    <x v="0"/>
    <x v="1"/>
    <x v="19"/>
    <x v="0"/>
    <n v="4"/>
    <x v="5"/>
    <n v="1"/>
    <x v="0"/>
    <n v="0.14000000000000001"/>
    <n v="0.16669999999999999"/>
    <x v="0"/>
    <n v="0.28000000000000003"/>
    <x v="2"/>
    <n v="0.1045"/>
    <x v="0"/>
    <x v="4"/>
    <x v="59"/>
    <x v="59"/>
  </r>
  <r>
    <n v="920"/>
    <d v="2011-02-10T00:00:00"/>
    <x v="0"/>
    <x v="0"/>
    <x v="1"/>
    <x v="20"/>
    <x v="0"/>
    <n v="4"/>
    <x v="5"/>
    <n v="1"/>
    <x v="0"/>
    <n v="0.14000000000000001"/>
    <n v="0.18179999999999999"/>
    <x v="0"/>
    <n v="0.31"/>
    <x v="2"/>
    <n v="8.9599999999999999E-2"/>
    <x v="0"/>
    <x v="17"/>
    <x v="139"/>
    <x v="54"/>
  </r>
  <r>
    <n v="921"/>
    <d v="2011-02-10T00:00:00"/>
    <x v="0"/>
    <x v="0"/>
    <x v="1"/>
    <x v="21"/>
    <x v="0"/>
    <n v="4"/>
    <x v="5"/>
    <n v="1"/>
    <x v="0"/>
    <n v="0.14000000000000001"/>
    <n v="0.21210000000000001"/>
    <x v="0"/>
    <n v="0.39"/>
    <x v="2"/>
    <n v="0"/>
    <x v="0"/>
    <x v="4"/>
    <x v="14"/>
    <x v="44"/>
  </r>
  <r>
    <n v="922"/>
    <d v="2011-02-10T00:00:00"/>
    <x v="0"/>
    <x v="0"/>
    <x v="1"/>
    <x v="22"/>
    <x v="0"/>
    <n v="4"/>
    <x v="5"/>
    <n v="1"/>
    <x v="0"/>
    <n v="0.12"/>
    <n v="0.19700000000000001"/>
    <x v="0"/>
    <n v="0.39"/>
    <x v="2"/>
    <n v="0"/>
    <x v="0"/>
    <x v="17"/>
    <x v="12"/>
    <x v="41"/>
  </r>
  <r>
    <n v="923"/>
    <d v="2011-02-10T00:00:00"/>
    <x v="0"/>
    <x v="0"/>
    <x v="1"/>
    <x v="23"/>
    <x v="0"/>
    <n v="4"/>
    <x v="5"/>
    <n v="1"/>
    <x v="0"/>
    <n v="0.12"/>
    <n v="0.1515"/>
    <x v="0"/>
    <n v="0.42"/>
    <x v="1"/>
    <n v="0.1045"/>
    <x v="0"/>
    <x v="5"/>
    <x v="39"/>
    <x v="19"/>
  </r>
  <r>
    <n v="924"/>
    <d v="2011-02-11T00:00:00"/>
    <x v="0"/>
    <x v="0"/>
    <x v="1"/>
    <x v="0"/>
    <x v="0"/>
    <n v="5"/>
    <x v="6"/>
    <n v="1"/>
    <x v="0"/>
    <n v="0.1"/>
    <n v="0.13639999999999999"/>
    <x v="0"/>
    <n v="0.49"/>
    <x v="1"/>
    <n v="0.1045"/>
    <x v="0"/>
    <x v="4"/>
    <x v="98"/>
    <x v="8"/>
  </r>
  <r>
    <n v="925"/>
    <d v="2011-02-11T00:00:00"/>
    <x v="0"/>
    <x v="0"/>
    <x v="1"/>
    <x v="1"/>
    <x v="0"/>
    <n v="5"/>
    <x v="6"/>
    <n v="1"/>
    <x v="0"/>
    <n v="0.1"/>
    <n v="0.13639999999999999"/>
    <x v="0"/>
    <n v="0.54"/>
    <x v="1"/>
    <n v="8.9599999999999999E-2"/>
    <x v="0"/>
    <x v="5"/>
    <x v="8"/>
    <x v="85"/>
  </r>
  <r>
    <n v="926"/>
    <d v="2011-02-11T00:00:00"/>
    <x v="0"/>
    <x v="0"/>
    <x v="1"/>
    <x v="2"/>
    <x v="0"/>
    <n v="5"/>
    <x v="6"/>
    <n v="1"/>
    <x v="0"/>
    <n v="0.1"/>
    <n v="0.13639999999999999"/>
    <x v="0"/>
    <n v="0.54"/>
    <x v="1"/>
    <n v="8.9599999999999999E-2"/>
    <x v="0"/>
    <x v="3"/>
    <x v="35"/>
    <x v="6"/>
  </r>
  <r>
    <n v="927"/>
    <d v="2011-02-11T00:00:00"/>
    <x v="0"/>
    <x v="0"/>
    <x v="1"/>
    <x v="5"/>
    <x v="0"/>
    <n v="5"/>
    <x v="6"/>
    <n v="1"/>
    <x v="0"/>
    <n v="0.08"/>
    <n v="0.1212"/>
    <x v="0"/>
    <n v="0.63"/>
    <x v="1"/>
    <n v="8.9599999999999999E-2"/>
    <x v="0"/>
    <x v="3"/>
    <x v="22"/>
    <x v="48"/>
  </r>
  <r>
    <n v="928"/>
    <d v="2011-02-11T00:00:00"/>
    <x v="0"/>
    <x v="0"/>
    <x v="1"/>
    <x v="6"/>
    <x v="0"/>
    <n v="5"/>
    <x v="6"/>
    <n v="1"/>
    <x v="0"/>
    <n v="0.1"/>
    <n v="0.18179999999999999"/>
    <x v="0"/>
    <n v="0.68"/>
    <x v="1"/>
    <n v="0"/>
    <x v="0"/>
    <x v="5"/>
    <x v="140"/>
    <x v="108"/>
  </r>
  <r>
    <n v="929"/>
    <d v="2011-02-11T00:00:00"/>
    <x v="0"/>
    <x v="0"/>
    <x v="1"/>
    <x v="7"/>
    <x v="0"/>
    <n v="5"/>
    <x v="6"/>
    <n v="1"/>
    <x v="0"/>
    <n v="0.08"/>
    <n v="0.16669999999999999"/>
    <x v="0"/>
    <n v="0.73"/>
    <x v="0"/>
    <n v="0"/>
    <x v="0"/>
    <x v="5"/>
    <x v="26"/>
    <x v="30"/>
  </r>
  <r>
    <n v="930"/>
    <d v="2011-02-11T00:00:00"/>
    <x v="0"/>
    <x v="0"/>
    <x v="1"/>
    <x v="8"/>
    <x v="0"/>
    <n v="5"/>
    <x v="6"/>
    <n v="1"/>
    <x v="0"/>
    <n v="0.1"/>
    <n v="0.1212"/>
    <x v="0"/>
    <n v="0.74"/>
    <x v="0"/>
    <n v="0.16420000000000001"/>
    <x v="0"/>
    <x v="17"/>
    <x v="179"/>
    <x v="182"/>
  </r>
  <r>
    <n v="931"/>
    <d v="2011-02-11T00:00:00"/>
    <x v="0"/>
    <x v="0"/>
    <x v="1"/>
    <x v="9"/>
    <x v="0"/>
    <n v="5"/>
    <x v="6"/>
    <n v="1"/>
    <x v="0"/>
    <n v="0.12"/>
    <n v="0.1212"/>
    <x v="0"/>
    <n v="0.74"/>
    <x v="0"/>
    <n v="0.22389999999999999"/>
    <x v="1"/>
    <x v="1"/>
    <x v="126"/>
    <x v="188"/>
  </r>
  <r>
    <n v="932"/>
    <d v="2011-02-11T00:00:00"/>
    <x v="0"/>
    <x v="0"/>
    <x v="1"/>
    <x v="10"/>
    <x v="0"/>
    <n v="5"/>
    <x v="6"/>
    <n v="1"/>
    <x v="0"/>
    <n v="0.14000000000000001"/>
    <n v="0.13639999999999999"/>
    <x v="0"/>
    <n v="0.69"/>
    <x v="1"/>
    <n v="0.19400000000000001"/>
    <x v="0"/>
    <x v="2"/>
    <x v="87"/>
    <x v="40"/>
  </r>
  <r>
    <n v="933"/>
    <d v="2011-02-11T00:00:00"/>
    <x v="0"/>
    <x v="0"/>
    <x v="1"/>
    <x v="11"/>
    <x v="0"/>
    <n v="5"/>
    <x v="6"/>
    <n v="1"/>
    <x v="0"/>
    <n v="0.22"/>
    <n v="0.2273"/>
    <x v="0"/>
    <n v="0.47"/>
    <x v="1"/>
    <n v="0.1343"/>
    <x v="0"/>
    <x v="6"/>
    <x v="15"/>
    <x v="37"/>
  </r>
  <r>
    <n v="934"/>
    <d v="2011-02-11T00:00:00"/>
    <x v="0"/>
    <x v="0"/>
    <x v="1"/>
    <x v="12"/>
    <x v="0"/>
    <n v="5"/>
    <x v="6"/>
    <n v="1"/>
    <x v="0"/>
    <n v="0.22"/>
    <n v="0.2273"/>
    <x v="0"/>
    <n v="0.47"/>
    <x v="1"/>
    <n v="0.1343"/>
    <x v="0"/>
    <x v="18"/>
    <x v="27"/>
    <x v="68"/>
  </r>
  <r>
    <n v="935"/>
    <d v="2011-02-11T00:00:00"/>
    <x v="0"/>
    <x v="0"/>
    <x v="1"/>
    <x v="13"/>
    <x v="0"/>
    <n v="5"/>
    <x v="6"/>
    <n v="1"/>
    <x v="0"/>
    <n v="0.24"/>
    <n v="0.2273"/>
    <x v="0"/>
    <n v="0.35"/>
    <x v="2"/>
    <n v="0.19400000000000001"/>
    <x v="0"/>
    <x v="27"/>
    <x v="121"/>
    <x v="14"/>
  </r>
  <r>
    <n v="936"/>
    <d v="2011-02-11T00:00:00"/>
    <x v="0"/>
    <x v="0"/>
    <x v="1"/>
    <x v="14"/>
    <x v="0"/>
    <n v="5"/>
    <x v="6"/>
    <n v="1"/>
    <x v="0"/>
    <n v="0.3"/>
    <n v="0.28789999999999999"/>
    <x v="0"/>
    <n v="0.26"/>
    <x v="2"/>
    <n v="0.25369999999999998"/>
    <x v="1"/>
    <x v="26"/>
    <x v="28"/>
    <x v="11"/>
  </r>
  <r>
    <n v="937"/>
    <d v="2011-02-11T00:00:00"/>
    <x v="0"/>
    <x v="0"/>
    <x v="1"/>
    <x v="15"/>
    <x v="0"/>
    <n v="5"/>
    <x v="6"/>
    <n v="1"/>
    <x v="0"/>
    <n v="0.32"/>
    <n v="0.31819999999999998"/>
    <x v="1"/>
    <n v="0.21"/>
    <x v="2"/>
    <n v="0.16420000000000001"/>
    <x v="0"/>
    <x v="6"/>
    <x v="133"/>
    <x v="30"/>
  </r>
  <r>
    <n v="938"/>
    <d v="2011-02-11T00:00:00"/>
    <x v="0"/>
    <x v="0"/>
    <x v="1"/>
    <x v="16"/>
    <x v="0"/>
    <n v="5"/>
    <x v="6"/>
    <n v="1"/>
    <x v="0"/>
    <n v="0.3"/>
    <n v="0.28789999999999999"/>
    <x v="0"/>
    <n v="0.28000000000000003"/>
    <x v="2"/>
    <n v="0.19400000000000001"/>
    <x v="0"/>
    <x v="24"/>
    <x v="180"/>
    <x v="139"/>
  </r>
  <r>
    <n v="939"/>
    <d v="2011-02-11T00:00:00"/>
    <x v="0"/>
    <x v="0"/>
    <x v="1"/>
    <x v="17"/>
    <x v="0"/>
    <n v="5"/>
    <x v="6"/>
    <n v="1"/>
    <x v="0"/>
    <n v="0.3"/>
    <n v="0.33329999999999999"/>
    <x v="1"/>
    <n v="0.24"/>
    <x v="2"/>
    <n v="0"/>
    <x v="0"/>
    <x v="25"/>
    <x v="181"/>
    <x v="189"/>
  </r>
  <r>
    <n v="940"/>
    <d v="2011-02-11T00:00:00"/>
    <x v="0"/>
    <x v="0"/>
    <x v="1"/>
    <x v="18"/>
    <x v="0"/>
    <n v="5"/>
    <x v="6"/>
    <n v="1"/>
    <x v="0"/>
    <n v="0.28000000000000003"/>
    <n v="0.31819999999999998"/>
    <x v="1"/>
    <n v="0.28000000000000003"/>
    <x v="2"/>
    <n v="0"/>
    <x v="0"/>
    <x v="14"/>
    <x v="158"/>
    <x v="177"/>
  </r>
  <r>
    <n v="941"/>
    <d v="2011-02-11T00:00:00"/>
    <x v="0"/>
    <x v="0"/>
    <x v="1"/>
    <x v="19"/>
    <x v="0"/>
    <n v="5"/>
    <x v="6"/>
    <n v="1"/>
    <x v="0"/>
    <n v="0.26"/>
    <n v="0.30299999999999999"/>
    <x v="1"/>
    <n v="0.33"/>
    <x v="2"/>
    <n v="0"/>
    <x v="0"/>
    <x v="18"/>
    <x v="111"/>
    <x v="129"/>
  </r>
  <r>
    <n v="942"/>
    <d v="2011-02-11T00:00:00"/>
    <x v="0"/>
    <x v="0"/>
    <x v="1"/>
    <x v="20"/>
    <x v="0"/>
    <n v="5"/>
    <x v="6"/>
    <n v="1"/>
    <x v="0"/>
    <n v="0.22"/>
    <n v="0.2273"/>
    <x v="0"/>
    <n v="0.55000000000000004"/>
    <x v="1"/>
    <n v="0.1343"/>
    <x v="0"/>
    <x v="4"/>
    <x v="124"/>
    <x v="55"/>
  </r>
  <r>
    <n v="943"/>
    <d v="2011-02-11T00:00:00"/>
    <x v="0"/>
    <x v="0"/>
    <x v="1"/>
    <x v="21"/>
    <x v="0"/>
    <n v="5"/>
    <x v="6"/>
    <n v="1"/>
    <x v="0"/>
    <n v="0.2"/>
    <n v="0.21210000000000001"/>
    <x v="0"/>
    <n v="0.59"/>
    <x v="1"/>
    <n v="0.1343"/>
    <x v="0"/>
    <x v="5"/>
    <x v="24"/>
    <x v="105"/>
  </r>
  <r>
    <n v="944"/>
    <d v="2011-02-11T00:00:00"/>
    <x v="0"/>
    <x v="0"/>
    <x v="1"/>
    <x v="22"/>
    <x v="0"/>
    <n v="5"/>
    <x v="6"/>
    <n v="1"/>
    <x v="0"/>
    <n v="0.2"/>
    <n v="0.2273"/>
    <x v="0"/>
    <n v="0.64"/>
    <x v="1"/>
    <n v="8.9599999999999999E-2"/>
    <x v="0"/>
    <x v="4"/>
    <x v="40"/>
    <x v="74"/>
  </r>
  <r>
    <n v="945"/>
    <d v="2011-02-11T00:00:00"/>
    <x v="0"/>
    <x v="0"/>
    <x v="1"/>
    <x v="23"/>
    <x v="0"/>
    <n v="5"/>
    <x v="6"/>
    <n v="1"/>
    <x v="0"/>
    <n v="0.18"/>
    <n v="0.2424"/>
    <x v="0"/>
    <n v="0.69"/>
    <x v="1"/>
    <n v="0"/>
    <x v="0"/>
    <x v="2"/>
    <x v="41"/>
    <x v="26"/>
  </r>
  <r>
    <n v="946"/>
    <d v="2011-02-12T00:00:00"/>
    <x v="0"/>
    <x v="0"/>
    <x v="1"/>
    <x v="0"/>
    <x v="0"/>
    <n v="6"/>
    <x v="0"/>
    <n v="1"/>
    <x v="0"/>
    <n v="0.16"/>
    <n v="0.19700000000000001"/>
    <x v="0"/>
    <n v="0.69"/>
    <x v="1"/>
    <n v="8.9599999999999999E-2"/>
    <x v="0"/>
    <x v="0"/>
    <x v="2"/>
    <x v="33"/>
  </r>
  <r>
    <n v="947"/>
    <d v="2011-02-12T00:00:00"/>
    <x v="0"/>
    <x v="0"/>
    <x v="1"/>
    <x v="1"/>
    <x v="0"/>
    <n v="6"/>
    <x v="0"/>
    <n v="1"/>
    <x v="0"/>
    <n v="0.14000000000000001"/>
    <n v="0.21210000000000001"/>
    <x v="0"/>
    <n v="0.86"/>
    <x v="0"/>
    <n v="0"/>
    <x v="0"/>
    <x v="4"/>
    <x v="97"/>
    <x v="108"/>
  </r>
  <r>
    <n v="948"/>
    <d v="2011-02-12T00:00:00"/>
    <x v="0"/>
    <x v="0"/>
    <x v="1"/>
    <x v="2"/>
    <x v="0"/>
    <n v="6"/>
    <x v="0"/>
    <n v="1"/>
    <x v="0"/>
    <n v="0.14000000000000001"/>
    <n v="0.21210000000000001"/>
    <x v="0"/>
    <n v="0.8"/>
    <x v="0"/>
    <n v="0"/>
    <x v="0"/>
    <x v="4"/>
    <x v="0"/>
    <x v="93"/>
  </r>
  <r>
    <n v="949"/>
    <d v="2011-02-12T00:00:00"/>
    <x v="0"/>
    <x v="0"/>
    <x v="1"/>
    <x v="3"/>
    <x v="0"/>
    <n v="6"/>
    <x v="0"/>
    <n v="1"/>
    <x v="0"/>
    <n v="0.12"/>
    <n v="0.19700000000000001"/>
    <x v="0"/>
    <n v="0.8"/>
    <x v="0"/>
    <n v="0"/>
    <x v="0"/>
    <x v="0"/>
    <x v="7"/>
    <x v="98"/>
  </r>
  <r>
    <n v="950"/>
    <d v="2011-02-12T00:00:00"/>
    <x v="0"/>
    <x v="0"/>
    <x v="1"/>
    <x v="4"/>
    <x v="0"/>
    <n v="6"/>
    <x v="0"/>
    <n v="1"/>
    <x v="0"/>
    <n v="0.12"/>
    <n v="0.16669999999999999"/>
    <x v="0"/>
    <n v="0.74"/>
    <x v="0"/>
    <n v="8.9599999999999999E-2"/>
    <x v="0"/>
    <x v="3"/>
    <x v="22"/>
    <x v="48"/>
  </r>
  <r>
    <n v="951"/>
    <d v="2011-02-12T00:00:00"/>
    <x v="0"/>
    <x v="0"/>
    <x v="1"/>
    <x v="5"/>
    <x v="0"/>
    <n v="6"/>
    <x v="0"/>
    <n v="1"/>
    <x v="0"/>
    <n v="0.12"/>
    <n v="0.16669999999999999"/>
    <x v="0"/>
    <n v="0.74"/>
    <x v="0"/>
    <n v="8.9599999999999999E-2"/>
    <x v="0"/>
    <x v="3"/>
    <x v="4"/>
    <x v="4"/>
  </r>
  <r>
    <n v="952"/>
    <d v="2011-02-12T00:00:00"/>
    <x v="0"/>
    <x v="0"/>
    <x v="1"/>
    <x v="6"/>
    <x v="0"/>
    <n v="6"/>
    <x v="0"/>
    <n v="1"/>
    <x v="0"/>
    <n v="0.12"/>
    <n v="0.13639999999999999"/>
    <x v="0"/>
    <n v="0.93"/>
    <x v="0"/>
    <n v="0.19400000000000001"/>
    <x v="0"/>
    <x v="5"/>
    <x v="4"/>
    <x v="5"/>
  </r>
  <r>
    <n v="953"/>
    <d v="2011-02-12T00:00:00"/>
    <x v="0"/>
    <x v="0"/>
    <x v="1"/>
    <x v="7"/>
    <x v="0"/>
    <n v="6"/>
    <x v="0"/>
    <n v="1"/>
    <x v="0"/>
    <n v="0.12"/>
    <n v="0.1515"/>
    <x v="0"/>
    <n v="0.8"/>
    <x v="0"/>
    <n v="0.1045"/>
    <x v="0"/>
    <x v="4"/>
    <x v="33"/>
    <x v="62"/>
  </r>
  <r>
    <n v="954"/>
    <d v="2011-02-12T00:00:00"/>
    <x v="0"/>
    <x v="0"/>
    <x v="1"/>
    <x v="8"/>
    <x v="0"/>
    <n v="6"/>
    <x v="0"/>
    <n v="1"/>
    <x v="0"/>
    <n v="0.14000000000000001"/>
    <n v="0.1515"/>
    <x v="0"/>
    <n v="0.86"/>
    <x v="0"/>
    <n v="0.1343"/>
    <x v="0"/>
    <x v="4"/>
    <x v="95"/>
    <x v="33"/>
  </r>
  <r>
    <n v="955"/>
    <d v="2011-02-12T00:00:00"/>
    <x v="0"/>
    <x v="0"/>
    <x v="1"/>
    <x v="9"/>
    <x v="0"/>
    <n v="6"/>
    <x v="0"/>
    <n v="1"/>
    <x v="0"/>
    <n v="0.16"/>
    <n v="0.18179999999999999"/>
    <x v="0"/>
    <n v="0.64"/>
    <x v="1"/>
    <n v="0.1343"/>
    <x v="0"/>
    <x v="2"/>
    <x v="101"/>
    <x v="74"/>
  </r>
  <r>
    <n v="956"/>
    <d v="2011-02-12T00:00:00"/>
    <x v="0"/>
    <x v="0"/>
    <x v="1"/>
    <x v="10"/>
    <x v="0"/>
    <n v="6"/>
    <x v="0"/>
    <n v="1"/>
    <x v="0"/>
    <n v="0.22"/>
    <n v="0.21210000000000001"/>
    <x v="0"/>
    <n v="0.41"/>
    <x v="1"/>
    <n v="0.25369999999999998"/>
    <x v="1"/>
    <x v="23"/>
    <x v="13"/>
    <x v="11"/>
  </r>
  <r>
    <n v="957"/>
    <d v="2011-02-12T00:00:00"/>
    <x v="0"/>
    <x v="0"/>
    <x v="1"/>
    <x v="11"/>
    <x v="0"/>
    <n v="6"/>
    <x v="0"/>
    <n v="1"/>
    <x v="0"/>
    <n v="0.3"/>
    <n v="0.2727"/>
    <x v="0"/>
    <n v="0.28000000000000003"/>
    <x v="2"/>
    <n v="0.32840000000000003"/>
    <x v="1"/>
    <x v="36"/>
    <x v="151"/>
    <x v="181"/>
  </r>
  <r>
    <n v="958"/>
    <d v="2011-02-12T00:00:00"/>
    <x v="0"/>
    <x v="0"/>
    <x v="1"/>
    <x v="12"/>
    <x v="0"/>
    <n v="6"/>
    <x v="0"/>
    <n v="1"/>
    <x v="0"/>
    <n v="0.3"/>
    <n v="0.2727"/>
    <x v="0"/>
    <n v="0.39"/>
    <x v="2"/>
    <n v="0.4627"/>
    <x v="1"/>
    <x v="37"/>
    <x v="139"/>
    <x v="151"/>
  </r>
  <r>
    <n v="959"/>
    <d v="2011-02-12T00:00:00"/>
    <x v="0"/>
    <x v="0"/>
    <x v="1"/>
    <x v="13"/>
    <x v="0"/>
    <n v="6"/>
    <x v="0"/>
    <n v="1"/>
    <x v="0"/>
    <n v="0.3"/>
    <n v="0.2727"/>
    <x v="0"/>
    <n v="0.39"/>
    <x v="2"/>
    <n v="0.41789999999999999"/>
    <x v="1"/>
    <x v="38"/>
    <x v="145"/>
    <x v="169"/>
  </r>
  <r>
    <n v="960"/>
    <d v="2011-02-12T00:00:00"/>
    <x v="0"/>
    <x v="0"/>
    <x v="1"/>
    <x v="14"/>
    <x v="0"/>
    <n v="6"/>
    <x v="0"/>
    <n v="1"/>
    <x v="0"/>
    <n v="0.34"/>
    <n v="0.31819999999999998"/>
    <x v="1"/>
    <n v="0.31"/>
    <x v="2"/>
    <n v="0.28360000000000002"/>
    <x v="1"/>
    <x v="36"/>
    <x v="92"/>
    <x v="151"/>
  </r>
  <r>
    <n v="961"/>
    <d v="2011-02-12T00:00:00"/>
    <x v="0"/>
    <x v="0"/>
    <x v="1"/>
    <x v="15"/>
    <x v="0"/>
    <n v="6"/>
    <x v="0"/>
    <n v="1"/>
    <x v="0"/>
    <n v="0.34"/>
    <n v="0.30299999999999999"/>
    <x v="1"/>
    <n v="0.28999999999999998"/>
    <x v="2"/>
    <n v="0.41789999999999999"/>
    <x v="1"/>
    <x v="9"/>
    <x v="69"/>
    <x v="177"/>
  </r>
  <r>
    <n v="962"/>
    <d v="2011-02-12T00:00:00"/>
    <x v="0"/>
    <x v="0"/>
    <x v="1"/>
    <x v="16"/>
    <x v="0"/>
    <n v="6"/>
    <x v="0"/>
    <n v="1"/>
    <x v="0"/>
    <n v="0.34"/>
    <n v="0.30299999999999999"/>
    <x v="1"/>
    <n v="0.28999999999999998"/>
    <x v="2"/>
    <n v="0.41789999999999999"/>
    <x v="1"/>
    <x v="35"/>
    <x v="145"/>
    <x v="190"/>
  </r>
  <r>
    <n v="963"/>
    <d v="2011-02-12T00:00:00"/>
    <x v="0"/>
    <x v="0"/>
    <x v="1"/>
    <x v="17"/>
    <x v="0"/>
    <n v="6"/>
    <x v="0"/>
    <n v="1"/>
    <x v="0"/>
    <n v="0.32"/>
    <n v="0.28789999999999999"/>
    <x v="0"/>
    <n v="0.31"/>
    <x v="2"/>
    <n v="0.52239999999999998"/>
    <x v="2"/>
    <x v="31"/>
    <x v="182"/>
    <x v="120"/>
  </r>
  <r>
    <n v="964"/>
    <d v="2011-02-12T00:00:00"/>
    <x v="0"/>
    <x v="0"/>
    <x v="1"/>
    <x v="18"/>
    <x v="0"/>
    <n v="6"/>
    <x v="0"/>
    <n v="1"/>
    <x v="0"/>
    <n v="0.28000000000000003"/>
    <n v="0.2576"/>
    <x v="0"/>
    <n v="0.38"/>
    <x v="2"/>
    <n v="0.32840000000000003"/>
    <x v="1"/>
    <x v="17"/>
    <x v="91"/>
    <x v="37"/>
  </r>
  <r>
    <n v="965"/>
    <d v="2011-02-12T00:00:00"/>
    <x v="0"/>
    <x v="0"/>
    <x v="1"/>
    <x v="19"/>
    <x v="0"/>
    <n v="6"/>
    <x v="0"/>
    <n v="1"/>
    <x v="0"/>
    <n v="0.28000000000000003"/>
    <n v="0.2727"/>
    <x v="0"/>
    <n v="0.38"/>
    <x v="2"/>
    <n v="0.16420000000000001"/>
    <x v="0"/>
    <x v="4"/>
    <x v="87"/>
    <x v="102"/>
  </r>
  <r>
    <n v="966"/>
    <d v="2011-02-12T00:00:00"/>
    <x v="0"/>
    <x v="0"/>
    <x v="1"/>
    <x v="20"/>
    <x v="0"/>
    <n v="6"/>
    <x v="0"/>
    <n v="1"/>
    <x v="0"/>
    <n v="0.26"/>
    <n v="0.2576"/>
    <x v="0"/>
    <n v="0.41"/>
    <x v="1"/>
    <n v="0.22389999999999999"/>
    <x v="1"/>
    <x v="5"/>
    <x v="87"/>
    <x v="1"/>
  </r>
  <r>
    <n v="967"/>
    <d v="2011-02-12T00:00:00"/>
    <x v="0"/>
    <x v="0"/>
    <x v="1"/>
    <x v="21"/>
    <x v="0"/>
    <n v="6"/>
    <x v="0"/>
    <n v="1"/>
    <x v="0"/>
    <n v="0.26"/>
    <n v="0.30299999999999999"/>
    <x v="1"/>
    <n v="0.41"/>
    <x v="1"/>
    <n v="0"/>
    <x v="0"/>
    <x v="14"/>
    <x v="76"/>
    <x v="41"/>
  </r>
  <r>
    <n v="968"/>
    <d v="2011-02-12T00:00:00"/>
    <x v="0"/>
    <x v="0"/>
    <x v="1"/>
    <x v="22"/>
    <x v="0"/>
    <n v="6"/>
    <x v="0"/>
    <n v="1"/>
    <x v="0"/>
    <n v="0.24"/>
    <n v="0.2576"/>
    <x v="0"/>
    <n v="0.44"/>
    <x v="1"/>
    <n v="8.9599999999999999E-2"/>
    <x v="0"/>
    <x v="15"/>
    <x v="87"/>
    <x v="79"/>
  </r>
  <r>
    <n v="969"/>
    <d v="2011-02-12T00:00:00"/>
    <x v="0"/>
    <x v="0"/>
    <x v="1"/>
    <x v="23"/>
    <x v="0"/>
    <n v="6"/>
    <x v="0"/>
    <n v="1"/>
    <x v="0"/>
    <n v="0.22"/>
    <n v="0.2273"/>
    <x v="0"/>
    <n v="0.51"/>
    <x v="1"/>
    <n v="0.1343"/>
    <x v="0"/>
    <x v="5"/>
    <x v="17"/>
    <x v="2"/>
  </r>
  <r>
    <n v="970"/>
    <d v="2011-02-13T00:00:00"/>
    <x v="0"/>
    <x v="0"/>
    <x v="1"/>
    <x v="0"/>
    <x v="0"/>
    <n v="0"/>
    <x v="1"/>
    <n v="1"/>
    <x v="0"/>
    <n v="0.2"/>
    <n v="0.2273"/>
    <x v="0"/>
    <n v="0.64"/>
    <x v="1"/>
    <n v="0.1045"/>
    <x v="0"/>
    <x v="2"/>
    <x v="60"/>
    <x v="21"/>
  </r>
  <r>
    <n v="971"/>
    <d v="2011-02-13T00:00:00"/>
    <x v="0"/>
    <x v="0"/>
    <x v="1"/>
    <x v="1"/>
    <x v="0"/>
    <n v="0"/>
    <x v="1"/>
    <n v="1"/>
    <x v="0"/>
    <n v="0.2"/>
    <n v="0.2273"/>
    <x v="0"/>
    <n v="0.59"/>
    <x v="1"/>
    <n v="8.9599999999999999E-2"/>
    <x v="0"/>
    <x v="5"/>
    <x v="140"/>
    <x v="108"/>
  </r>
  <r>
    <n v="972"/>
    <d v="2011-02-13T00:00:00"/>
    <x v="0"/>
    <x v="0"/>
    <x v="1"/>
    <x v="2"/>
    <x v="0"/>
    <n v="0"/>
    <x v="1"/>
    <n v="2"/>
    <x v="1"/>
    <n v="0.2"/>
    <n v="0.2273"/>
    <x v="0"/>
    <n v="0.75"/>
    <x v="0"/>
    <n v="8.9599999999999999E-2"/>
    <x v="0"/>
    <x v="5"/>
    <x v="23"/>
    <x v="25"/>
  </r>
  <r>
    <n v="973"/>
    <d v="2011-02-13T00:00:00"/>
    <x v="0"/>
    <x v="0"/>
    <x v="1"/>
    <x v="3"/>
    <x v="0"/>
    <n v="0"/>
    <x v="1"/>
    <n v="2"/>
    <x v="1"/>
    <n v="0.2"/>
    <n v="0.2273"/>
    <x v="0"/>
    <n v="0.69"/>
    <x v="1"/>
    <n v="0.1045"/>
    <x v="0"/>
    <x v="17"/>
    <x v="21"/>
    <x v="47"/>
  </r>
  <r>
    <n v="974"/>
    <d v="2011-02-13T00:00:00"/>
    <x v="0"/>
    <x v="0"/>
    <x v="1"/>
    <x v="4"/>
    <x v="0"/>
    <n v="0"/>
    <x v="1"/>
    <n v="2"/>
    <x v="1"/>
    <n v="0.2"/>
    <n v="0.21210000000000001"/>
    <x v="0"/>
    <n v="0.69"/>
    <x v="1"/>
    <n v="0.16420000000000001"/>
    <x v="0"/>
    <x v="3"/>
    <x v="6"/>
    <x v="5"/>
  </r>
  <r>
    <n v="975"/>
    <d v="2011-02-13T00:00:00"/>
    <x v="0"/>
    <x v="0"/>
    <x v="1"/>
    <x v="6"/>
    <x v="0"/>
    <n v="0"/>
    <x v="1"/>
    <n v="2"/>
    <x v="1"/>
    <n v="0.2"/>
    <n v="0.21210000000000001"/>
    <x v="0"/>
    <n v="0.69"/>
    <x v="1"/>
    <n v="0.1343"/>
    <x v="0"/>
    <x v="4"/>
    <x v="35"/>
    <x v="36"/>
  </r>
  <r>
    <n v="976"/>
    <d v="2011-02-13T00:00:00"/>
    <x v="0"/>
    <x v="0"/>
    <x v="1"/>
    <x v="7"/>
    <x v="0"/>
    <n v="0"/>
    <x v="1"/>
    <n v="2"/>
    <x v="1"/>
    <n v="0.22"/>
    <n v="0.2727"/>
    <x v="0"/>
    <n v="0.55000000000000004"/>
    <x v="1"/>
    <n v="0"/>
    <x v="0"/>
    <x v="3"/>
    <x v="35"/>
    <x v="6"/>
  </r>
  <r>
    <n v="977"/>
    <d v="2011-02-13T00:00:00"/>
    <x v="0"/>
    <x v="0"/>
    <x v="1"/>
    <x v="8"/>
    <x v="0"/>
    <n v="0"/>
    <x v="1"/>
    <n v="2"/>
    <x v="1"/>
    <n v="0.22"/>
    <n v="0.2273"/>
    <x v="0"/>
    <n v="0.64"/>
    <x v="1"/>
    <n v="0.19400000000000001"/>
    <x v="0"/>
    <x v="5"/>
    <x v="48"/>
    <x v="47"/>
  </r>
  <r>
    <n v="978"/>
    <d v="2011-02-13T00:00:00"/>
    <x v="0"/>
    <x v="0"/>
    <x v="1"/>
    <x v="9"/>
    <x v="0"/>
    <n v="0"/>
    <x v="1"/>
    <n v="2"/>
    <x v="1"/>
    <n v="0.24"/>
    <n v="0.2273"/>
    <x v="0"/>
    <n v="0.6"/>
    <x v="1"/>
    <n v="0.22389999999999999"/>
    <x v="1"/>
    <x v="6"/>
    <x v="96"/>
    <x v="105"/>
  </r>
  <r>
    <n v="979"/>
    <d v="2011-02-13T00:00:00"/>
    <x v="0"/>
    <x v="0"/>
    <x v="1"/>
    <x v="10"/>
    <x v="0"/>
    <n v="0"/>
    <x v="1"/>
    <n v="1"/>
    <x v="0"/>
    <n v="0.3"/>
    <n v="0.2727"/>
    <x v="0"/>
    <n v="0.45"/>
    <x v="1"/>
    <n v="0.32840000000000003"/>
    <x v="1"/>
    <x v="21"/>
    <x v="132"/>
    <x v="136"/>
  </r>
  <r>
    <n v="980"/>
    <d v="2011-02-13T00:00:00"/>
    <x v="0"/>
    <x v="0"/>
    <x v="1"/>
    <x v="11"/>
    <x v="0"/>
    <n v="0"/>
    <x v="1"/>
    <n v="1"/>
    <x v="0"/>
    <n v="0.32"/>
    <n v="0.28789999999999999"/>
    <x v="0"/>
    <n v="0.39"/>
    <x v="2"/>
    <n v="0.44779999999999998"/>
    <x v="1"/>
    <x v="7"/>
    <x v="132"/>
    <x v="59"/>
  </r>
  <r>
    <n v="981"/>
    <d v="2011-02-13T00:00:00"/>
    <x v="0"/>
    <x v="0"/>
    <x v="1"/>
    <x v="12"/>
    <x v="0"/>
    <n v="0"/>
    <x v="1"/>
    <n v="1"/>
    <x v="0"/>
    <n v="0.36"/>
    <n v="0.31819999999999998"/>
    <x v="1"/>
    <n v="0.32"/>
    <x v="2"/>
    <n v="0.4627"/>
    <x v="1"/>
    <x v="39"/>
    <x v="111"/>
    <x v="148"/>
  </r>
  <r>
    <n v="982"/>
    <d v="2011-02-13T00:00:00"/>
    <x v="0"/>
    <x v="0"/>
    <x v="1"/>
    <x v="13"/>
    <x v="0"/>
    <n v="0"/>
    <x v="1"/>
    <n v="1"/>
    <x v="0"/>
    <n v="0.38"/>
    <n v="0.39389999999999997"/>
    <x v="1"/>
    <n v="0.28999999999999998"/>
    <x v="2"/>
    <n v="0.35820000000000002"/>
    <x v="1"/>
    <x v="40"/>
    <x v="50"/>
    <x v="38"/>
  </r>
  <r>
    <n v="983"/>
    <d v="2011-02-13T00:00:00"/>
    <x v="0"/>
    <x v="0"/>
    <x v="1"/>
    <x v="14"/>
    <x v="0"/>
    <n v="0"/>
    <x v="1"/>
    <n v="2"/>
    <x v="1"/>
    <n v="0.4"/>
    <n v="0.40910000000000002"/>
    <x v="1"/>
    <n v="0.3"/>
    <x v="2"/>
    <n v="0.41789999999999999"/>
    <x v="1"/>
    <x v="41"/>
    <x v="59"/>
    <x v="143"/>
  </r>
  <r>
    <n v="984"/>
    <d v="2011-02-13T00:00:00"/>
    <x v="0"/>
    <x v="0"/>
    <x v="1"/>
    <x v="15"/>
    <x v="0"/>
    <n v="0"/>
    <x v="1"/>
    <n v="2"/>
    <x v="1"/>
    <n v="0.4"/>
    <n v="0.40910000000000002"/>
    <x v="1"/>
    <n v="0.3"/>
    <x v="2"/>
    <n v="0.29849999999999999"/>
    <x v="1"/>
    <x v="11"/>
    <x v="183"/>
    <x v="123"/>
  </r>
  <r>
    <n v="985"/>
    <d v="2011-02-13T00:00:00"/>
    <x v="0"/>
    <x v="0"/>
    <x v="1"/>
    <x v="16"/>
    <x v="0"/>
    <n v="0"/>
    <x v="1"/>
    <n v="2"/>
    <x v="1"/>
    <n v="0.42"/>
    <n v="0.42420000000000002"/>
    <x v="1"/>
    <n v="0.28000000000000003"/>
    <x v="2"/>
    <n v="0.32840000000000003"/>
    <x v="1"/>
    <x v="32"/>
    <x v="184"/>
    <x v="87"/>
  </r>
  <r>
    <n v="986"/>
    <d v="2011-02-13T00:00:00"/>
    <x v="0"/>
    <x v="0"/>
    <x v="1"/>
    <x v="17"/>
    <x v="0"/>
    <n v="0"/>
    <x v="1"/>
    <n v="1"/>
    <x v="0"/>
    <n v="0.42"/>
    <n v="0.42420000000000002"/>
    <x v="1"/>
    <n v="0.28000000000000003"/>
    <x v="2"/>
    <n v="0.32840000000000003"/>
    <x v="1"/>
    <x v="36"/>
    <x v="73"/>
    <x v="139"/>
  </r>
  <r>
    <n v="987"/>
    <d v="2011-02-13T00:00:00"/>
    <x v="0"/>
    <x v="0"/>
    <x v="1"/>
    <x v="18"/>
    <x v="0"/>
    <n v="0"/>
    <x v="1"/>
    <n v="1"/>
    <x v="0"/>
    <n v="0.4"/>
    <n v="0.40910000000000002"/>
    <x v="1"/>
    <n v="0.32"/>
    <x v="2"/>
    <n v="0.29849999999999999"/>
    <x v="1"/>
    <x v="26"/>
    <x v="78"/>
    <x v="76"/>
  </r>
  <r>
    <n v="988"/>
    <d v="2011-02-13T00:00:00"/>
    <x v="0"/>
    <x v="0"/>
    <x v="1"/>
    <x v="19"/>
    <x v="0"/>
    <n v="0"/>
    <x v="1"/>
    <n v="1"/>
    <x v="0"/>
    <n v="0.4"/>
    <n v="0.40910000000000002"/>
    <x v="1"/>
    <n v="0.35"/>
    <x v="2"/>
    <n v="0.28360000000000002"/>
    <x v="1"/>
    <x v="16"/>
    <x v="54"/>
    <x v="42"/>
  </r>
  <r>
    <n v="989"/>
    <d v="2011-02-13T00:00:00"/>
    <x v="0"/>
    <x v="0"/>
    <x v="1"/>
    <x v="20"/>
    <x v="0"/>
    <n v="0"/>
    <x v="1"/>
    <n v="1"/>
    <x v="0"/>
    <n v="0.4"/>
    <n v="0.40910000000000002"/>
    <x v="1"/>
    <n v="0.35"/>
    <x v="2"/>
    <n v="0.32840000000000003"/>
    <x v="1"/>
    <x v="13"/>
    <x v="1"/>
    <x v="105"/>
  </r>
  <r>
    <n v="990"/>
    <d v="2011-02-13T00:00:00"/>
    <x v="0"/>
    <x v="0"/>
    <x v="1"/>
    <x v="21"/>
    <x v="0"/>
    <n v="0"/>
    <x v="1"/>
    <n v="1"/>
    <x v="0"/>
    <n v="0.4"/>
    <n v="0.40910000000000002"/>
    <x v="1"/>
    <n v="0.35"/>
    <x v="2"/>
    <n v="0.35820000000000002"/>
    <x v="1"/>
    <x v="15"/>
    <x v="108"/>
    <x v="41"/>
  </r>
  <r>
    <n v="991"/>
    <d v="2011-02-13T00:00:00"/>
    <x v="0"/>
    <x v="0"/>
    <x v="1"/>
    <x v="22"/>
    <x v="0"/>
    <n v="0"/>
    <x v="1"/>
    <n v="1"/>
    <x v="0"/>
    <n v="0.4"/>
    <n v="0.40910000000000002"/>
    <x v="1"/>
    <n v="0.35"/>
    <x v="2"/>
    <n v="0.29849999999999999"/>
    <x v="1"/>
    <x v="2"/>
    <x v="17"/>
    <x v="9"/>
  </r>
  <r>
    <n v="992"/>
    <d v="2011-02-13T00:00:00"/>
    <x v="0"/>
    <x v="0"/>
    <x v="1"/>
    <x v="23"/>
    <x v="0"/>
    <n v="0"/>
    <x v="1"/>
    <n v="1"/>
    <x v="0"/>
    <n v="0.4"/>
    <n v="0.40910000000000002"/>
    <x v="1"/>
    <n v="0.35"/>
    <x v="2"/>
    <n v="0.35820000000000002"/>
    <x v="1"/>
    <x v="0"/>
    <x v="2"/>
    <x v="33"/>
  </r>
  <r>
    <n v="993"/>
    <d v="2011-02-14T00:00:00"/>
    <x v="0"/>
    <x v="0"/>
    <x v="1"/>
    <x v="0"/>
    <x v="0"/>
    <n v="1"/>
    <x v="2"/>
    <n v="1"/>
    <x v="0"/>
    <n v="0.38"/>
    <n v="0.39389999999999997"/>
    <x v="1"/>
    <n v="0.37"/>
    <x v="2"/>
    <n v="0.35820000000000002"/>
    <x v="1"/>
    <x v="0"/>
    <x v="21"/>
    <x v="62"/>
  </r>
  <r>
    <n v="994"/>
    <d v="2011-02-14T00:00:00"/>
    <x v="0"/>
    <x v="0"/>
    <x v="1"/>
    <x v="1"/>
    <x v="0"/>
    <n v="1"/>
    <x v="2"/>
    <n v="1"/>
    <x v="0"/>
    <n v="0.38"/>
    <n v="0.39389999999999997"/>
    <x v="1"/>
    <n v="0.37"/>
    <x v="2"/>
    <n v="0.35820000000000002"/>
    <x v="1"/>
    <x v="5"/>
    <x v="8"/>
    <x v="85"/>
  </r>
  <r>
    <n v="995"/>
    <d v="2011-02-14T00:00:00"/>
    <x v="0"/>
    <x v="0"/>
    <x v="1"/>
    <x v="2"/>
    <x v="0"/>
    <n v="1"/>
    <x v="2"/>
    <n v="1"/>
    <x v="0"/>
    <n v="0.36"/>
    <n v="0.33329999999999999"/>
    <x v="1"/>
    <n v="0.4"/>
    <x v="1"/>
    <n v="0.29849999999999999"/>
    <x v="1"/>
    <x v="3"/>
    <x v="6"/>
    <x v="5"/>
  </r>
  <r>
    <n v="996"/>
    <d v="2011-02-14T00:00:00"/>
    <x v="0"/>
    <x v="0"/>
    <x v="1"/>
    <x v="3"/>
    <x v="0"/>
    <n v="1"/>
    <x v="2"/>
    <n v="1"/>
    <x v="0"/>
    <n v="0.34"/>
    <n v="0.31819999999999998"/>
    <x v="1"/>
    <n v="0.46"/>
    <x v="1"/>
    <n v="0.22389999999999999"/>
    <x v="1"/>
    <x v="5"/>
    <x v="4"/>
    <x v="5"/>
  </r>
  <r>
    <n v="997"/>
    <d v="2011-02-14T00:00:00"/>
    <x v="0"/>
    <x v="0"/>
    <x v="1"/>
    <x v="4"/>
    <x v="0"/>
    <n v="1"/>
    <x v="2"/>
    <n v="1"/>
    <x v="0"/>
    <n v="0.32"/>
    <n v="0.30299999999999999"/>
    <x v="1"/>
    <n v="0.53"/>
    <x v="1"/>
    <n v="0.28360000000000002"/>
    <x v="1"/>
    <x v="3"/>
    <x v="6"/>
    <x v="5"/>
  </r>
  <r>
    <n v="998"/>
    <d v="2011-02-14T00:00:00"/>
    <x v="0"/>
    <x v="0"/>
    <x v="1"/>
    <x v="5"/>
    <x v="0"/>
    <n v="1"/>
    <x v="2"/>
    <n v="1"/>
    <x v="0"/>
    <n v="0.32"/>
    <n v="0.30299999999999999"/>
    <x v="1"/>
    <n v="0.53"/>
    <x v="1"/>
    <n v="0.28360000000000002"/>
    <x v="1"/>
    <x v="3"/>
    <x v="35"/>
    <x v="6"/>
  </r>
  <r>
    <n v="999"/>
    <d v="2011-02-14T00:00:00"/>
    <x v="0"/>
    <x v="0"/>
    <x v="1"/>
    <x v="6"/>
    <x v="0"/>
    <n v="1"/>
    <x v="2"/>
    <n v="1"/>
    <x v="0"/>
    <n v="0.34"/>
    <n v="0.30299999999999999"/>
    <x v="1"/>
    <n v="0.46"/>
    <x v="1"/>
    <n v="0.29849999999999999"/>
    <x v="1"/>
    <x v="5"/>
    <x v="18"/>
    <x v="132"/>
  </r>
  <r>
    <n v="1000"/>
    <d v="2011-02-14T00:00:00"/>
    <x v="0"/>
    <x v="0"/>
    <x v="1"/>
    <x v="7"/>
    <x v="0"/>
    <n v="1"/>
    <x v="2"/>
    <n v="1"/>
    <x v="0"/>
    <n v="0.34"/>
    <n v="0.30299999999999999"/>
    <x v="1"/>
    <n v="0.46"/>
    <x v="1"/>
    <n v="0.29849999999999999"/>
    <x v="1"/>
    <x v="4"/>
    <x v="185"/>
    <x v="9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1" xr10:uid="{A16338D8-4980-453F-B550-74C1D7CA9ED3}" sourceName="Months">
  <data>
    <tabular pivotCacheId="10218998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 xr10:uid="{DDAC6A98-489D-4AF8-A7B1-B6A55C011857}" sourceName="Hours">
  <data>
    <tabular pivotCacheId="1021899815">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_2" xr10:uid="{4915AD0E-5935-4EB5-BC0C-25ACA82D16F7}" sourceName="Weekdays 2">
  <data>
    <tabular pivotCacheId="1021899815">
      <items count="7">
        <i x="0" s="1"/>
        <i x="1" s="1"/>
        <i x="2" s="1"/>
        <i x="3" s="1"/>
        <i x="4" s="1"/>
        <i x="5"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_21" xr10:uid="{88D6C628-3C29-47AA-9B38-2A27EB607619}" sourceName="Weathersit 2">
  <data>
    <tabular pivotCacheId="1021899815">
      <items count="4">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_Range" xr10:uid="{AF96FCAB-16B0-472E-8285-0129EF36236B}" sourceName="Temperature Range">
  <data>
    <tabular pivotCacheId="1021899815">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_Range" xr10:uid="{C4D13A9D-8F95-4200-8B22-9BEE1DA6D116}" sourceName="Humidity Range">
  <data>
    <tabular pivotCacheId="1021899815">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_Range" xr10:uid="{1D688202-7D95-423E-8BF1-85FC993422AF}" sourceName="Windspeed Range">
  <data>
    <tabular pivotCacheId="102189981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BC3D42C6-6EB6-4530-B11A-9492C7F1AF14}" cache="Slicer_Months1" caption="Months" style="SlicerStyleDark6" rowHeight="209550"/>
  <slicer name="Hours" xr10:uid="{804C0302-E2A0-4064-A27B-D677B8E63431}" cache="Slicer_Hours" caption="Hours" columnCount="4" style="SlicerStyleDark6" rowHeight="209550"/>
  <slicer name="Weekdays 2" xr10:uid="{8BBC53AF-F8F6-45B6-AA6D-4BF0A7DF10AC}" cache="Slicer_Weekdays_2" caption="Weekdays 2" columnCount="3" style="SlicerStyleDark6" rowHeight="209550"/>
  <slicer name="Weathersit 2 1" xr10:uid="{B8E87B32-B493-400E-B7DB-5712CCF3FDE7}" cache="Slicer_Weathersit_21" caption="Weathersit 2" columnCount="2" style="SlicerStyleDark6" rowHeight="209550"/>
  <slicer name="Temperature Range" xr10:uid="{B17FFEAE-CAEE-4F6D-9E30-8140C46891F9}" cache="Slicer_Temperature_Range" caption="Temperature Range" columnCount="2" rowHeight="209550"/>
  <slicer name="Humidity Range" xr10:uid="{9606AE17-9568-4925-A001-5C33736952BB}" cache="Slicer_Humidity_Range" caption="Humidity Range" columnCount="3" style="SlicerStyleDark6" rowHeight="209550"/>
  <slicer name="Windspeed Range" xr10:uid="{F1B096BB-A01C-475D-94FC-2B3FE13E1EB7}" cache="Slicer_Windspeed_Range" caption="Windspeed Range" columnCount="3" style="SlicerStyleDark6"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0CAC1-311E-49E9-88A2-A8181CDC372F}">
  <dimension ref="A1:Y45"/>
  <sheetViews>
    <sheetView showGridLines="0" tabSelected="1" zoomScale="76" zoomScaleNormal="53" workbookViewId="0">
      <selection activeCell="AB30" sqref="AB30"/>
    </sheetView>
  </sheetViews>
  <sheetFormatPr defaultRowHeight="13.2" x14ac:dyDescent="0.25"/>
  <cols>
    <col min="6" max="6" width="9.5546875" bestFit="1" customWidth="1"/>
    <col min="17" max="17" width="9.5546875" bestFit="1" customWidth="1"/>
  </cols>
  <sheetData>
    <row r="1" spans="1:25" x14ac:dyDescent="0.25">
      <c r="A1" s="1" t="s">
        <v>0</v>
      </c>
      <c r="B1" s="2"/>
      <c r="C1" s="2"/>
      <c r="D1" s="2"/>
      <c r="E1" s="2"/>
      <c r="F1" s="2"/>
      <c r="G1" s="2"/>
      <c r="H1" s="2"/>
      <c r="I1" s="2"/>
      <c r="J1" s="2"/>
      <c r="K1" s="2"/>
      <c r="L1" s="2"/>
      <c r="M1" s="2"/>
      <c r="N1" s="2"/>
      <c r="O1" s="2"/>
      <c r="P1" s="2"/>
      <c r="Q1" s="2"/>
      <c r="R1" s="2"/>
      <c r="S1" s="2"/>
      <c r="T1" s="2"/>
      <c r="U1" s="2"/>
      <c r="V1" s="2"/>
      <c r="W1" s="2"/>
      <c r="X1" s="2"/>
      <c r="Y1" s="3"/>
    </row>
    <row r="2" spans="1:25" x14ac:dyDescent="0.25">
      <c r="A2" s="4"/>
      <c r="B2" s="5"/>
      <c r="C2" s="5"/>
      <c r="D2" s="5"/>
      <c r="E2" s="5"/>
      <c r="F2" s="5"/>
      <c r="G2" s="5"/>
      <c r="H2" s="5"/>
      <c r="I2" s="5"/>
      <c r="J2" s="5"/>
      <c r="K2" s="5"/>
      <c r="L2" s="5"/>
      <c r="M2" s="5"/>
      <c r="N2" s="5"/>
      <c r="O2" s="5"/>
      <c r="P2" s="5"/>
      <c r="Q2" s="5"/>
      <c r="R2" s="5"/>
      <c r="S2" s="5"/>
      <c r="T2" s="5"/>
      <c r="U2" s="5"/>
      <c r="V2" s="5"/>
      <c r="W2" s="5"/>
      <c r="X2" s="5"/>
      <c r="Y2" s="6"/>
    </row>
    <row r="3" spans="1:25" x14ac:dyDescent="0.25">
      <c r="A3" s="4"/>
      <c r="B3" s="5"/>
      <c r="C3" s="5"/>
      <c r="D3" s="5"/>
      <c r="E3" s="5"/>
      <c r="F3" s="5"/>
      <c r="G3" s="5"/>
      <c r="H3" s="5"/>
      <c r="I3" s="5"/>
      <c r="J3" s="5"/>
      <c r="K3" s="5"/>
      <c r="L3" s="5"/>
      <c r="M3" s="5"/>
      <c r="N3" s="5"/>
      <c r="O3" s="5"/>
      <c r="P3" s="5"/>
      <c r="Q3" s="5"/>
      <c r="R3" s="5"/>
      <c r="S3" s="5"/>
      <c r="T3" s="5"/>
      <c r="U3" s="5"/>
      <c r="V3" s="5"/>
      <c r="W3" s="5"/>
      <c r="X3" s="5"/>
      <c r="Y3" s="6"/>
    </row>
    <row r="4" spans="1:25" x14ac:dyDescent="0.25">
      <c r="A4" s="7"/>
      <c r="Y4" s="8"/>
    </row>
    <row r="5" spans="1:25" x14ac:dyDescent="0.25">
      <c r="A5" s="7"/>
      <c r="Y5" s="8"/>
    </row>
    <row r="6" spans="1:25" x14ac:dyDescent="0.25">
      <c r="A6" s="7"/>
      <c r="Y6" s="8"/>
    </row>
    <row r="7" spans="1:25" x14ac:dyDescent="0.25">
      <c r="A7" s="7"/>
      <c r="Y7" s="8"/>
    </row>
    <row r="8" spans="1:25" ht="21" x14ac:dyDescent="0.4">
      <c r="A8" s="7"/>
      <c r="F8" s="9">
        <f>GETPIVOTDATA("Total ",[1]Sheet22!$A$3)</f>
        <v>58304</v>
      </c>
      <c r="L8" s="10">
        <f>GETPIVOTDATA("Casual",[1]Sheet22!$A$11)</f>
        <v>4921</v>
      </c>
      <c r="Q8" s="10">
        <f>GETPIVOTDATA("Registered",[1]Sheet22!$A$14)</f>
        <v>53383</v>
      </c>
      <c r="V8" s="9">
        <f>GETPIVOTDATA("Temperature",[1]Sheet22!$A$18)</f>
        <v>0.20589999999999961</v>
      </c>
      <c r="Y8" s="8"/>
    </row>
    <row r="9" spans="1:25" x14ac:dyDescent="0.25">
      <c r="A9" s="7"/>
      <c r="Y9" s="8"/>
    </row>
    <row r="10" spans="1:25" x14ac:dyDescent="0.25">
      <c r="A10" s="7"/>
      <c r="Y10" s="8"/>
    </row>
    <row r="11" spans="1:25" x14ac:dyDescent="0.25">
      <c r="A11" s="7"/>
      <c r="Y11" s="8"/>
    </row>
    <row r="12" spans="1:25" x14ac:dyDescent="0.25">
      <c r="A12" s="7"/>
      <c r="Y12" s="8"/>
    </row>
    <row r="13" spans="1:25" x14ac:dyDescent="0.25">
      <c r="A13" s="7"/>
      <c r="Y13" s="8"/>
    </row>
    <row r="14" spans="1:25" x14ac:dyDescent="0.25">
      <c r="A14" s="7"/>
      <c r="Y14" s="8"/>
    </row>
    <row r="15" spans="1:25" x14ac:dyDescent="0.25">
      <c r="A15" s="7"/>
      <c r="Y15" s="8"/>
    </row>
    <row r="16" spans="1:25" x14ac:dyDescent="0.25">
      <c r="A16" s="7"/>
      <c r="Y16" s="8"/>
    </row>
    <row r="17" spans="1:25" x14ac:dyDescent="0.25">
      <c r="A17" s="7"/>
      <c r="Y17" s="8"/>
    </row>
    <row r="18" spans="1:25" x14ac:dyDescent="0.25">
      <c r="A18" s="7"/>
      <c r="Y18" s="8"/>
    </row>
    <row r="19" spans="1:25" x14ac:dyDescent="0.25">
      <c r="A19" s="7"/>
      <c r="Y19" s="8"/>
    </row>
    <row r="20" spans="1:25" x14ac:dyDescent="0.25">
      <c r="A20" s="7"/>
      <c r="Y20" s="8"/>
    </row>
    <row r="21" spans="1:25" x14ac:dyDescent="0.25">
      <c r="A21" s="7"/>
      <c r="Y21" s="8"/>
    </row>
    <row r="22" spans="1:25" x14ac:dyDescent="0.25">
      <c r="A22" s="7"/>
      <c r="Y22" s="8"/>
    </row>
    <row r="23" spans="1:25" x14ac:dyDescent="0.25">
      <c r="A23" s="7"/>
      <c r="Y23" s="8"/>
    </row>
    <row r="24" spans="1:25" x14ac:dyDescent="0.25">
      <c r="A24" s="7"/>
      <c r="Y24" s="8"/>
    </row>
    <row r="25" spans="1:25" x14ac:dyDescent="0.25">
      <c r="A25" s="7"/>
      <c r="Y25" s="8"/>
    </row>
    <row r="26" spans="1:25" x14ac:dyDescent="0.25">
      <c r="A26" s="7"/>
      <c r="Y26" s="8"/>
    </row>
    <row r="27" spans="1:25" x14ac:dyDescent="0.25">
      <c r="A27" s="7"/>
      <c r="Y27" s="8"/>
    </row>
    <row r="28" spans="1:25" x14ac:dyDescent="0.25">
      <c r="A28" s="7"/>
      <c r="Y28" s="8"/>
    </row>
    <row r="29" spans="1:25" x14ac:dyDescent="0.25">
      <c r="A29" s="7"/>
      <c r="Y29" s="8"/>
    </row>
    <row r="30" spans="1:25" x14ac:dyDescent="0.25">
      <c r="A30" s="7"/>
      <c r="Y30" s="8"/>
    </row>
    <row r="31" spans="1:25" x14ac:dyDescent="0.25">
      <c r="A31" s="7"/>
      <c r="Y31" s="8"/>
    </row>
    <row r="32" spans="1:25" x14ac:dyDescent="0.25">
      <c r="A32" s="7"/>
      <c r="Y32" s="8"/>
    </row>
    <row r="33" spans="1:25" x14ac:dyDescent="0.25">
      <c r="A33" s="7"/>
      <c r="Y33" s="8"/>
    </row>
    <row r="34" spans="1:25" x14ac:dyDescent="0.25">
      <c r="A34" s="7"/>
      <c r="Y34" s="8"/>
    </row>
    <row r="35" spans="1:25" x14ac:dyDescent="0.25">
      <c r="A35" s="7"/>
      <c r="Y35" s="8"/>
    </row>
    <row r="36" spans="1:25" x14ac:dyDescent="0.25">
      <c r="A36" s="7"/>
      <c r="Y36" s="8"/>
    </row>
    <row r="37" spans="1:25" x14ac:dyDescent="0.25">
      <c r="A37" s="7"/>
      <c r="Y37" s="8"/>
    </row>
    <row r="38" spans="1:25" x14ac:dyDescent="0.25">
      <c r="A38" s="7"/>
      <c r="Y38" s="8"/>
    </row>
    <row r="39" spans="1:25" x14ac:dyDescent="0.25">
      <c r="A39" s="7"/>
      <c r="Y39" s="8"/>
    </row>
    <row r="40" spans="1:25" x14ac:dyDescent="0.25">
      <c r="A40" s="7"/>
      <c r="Y40" s="8"/>
    </row>
    <row r="41" spans="1:25" x14ac:dyDescent="0.25">
      <c r="A41" s="7"/>
      <c r="Y41" s="8"/>
    </row>
    <row r="42" spans="1:25" x14ac:dyDescent="0.25">
      <c r="A42" s="7"/>
      <c r="Y42" s="8"/>
    </row>
    <row r="43" spans="1:25" x14ac:dyDescent="0.25">
      <c r="A43" s="7"/>
      <c r="Y43" s="8"/>
    </row>
    <row r="44" spans="1:25" x14ac:dyDescent="0.25">
      <c r="A44" s="7"/>
      <c r="Y44" s="8"/>
    </row>
    <row r="45" spans="1:25" ht="13.8" thickBot="1" x14ac:dyDescent="0.3">
      <c r="A45" s="11"/>
      <c r="B45" s="12"/>
      <c r="C45" s="12"/>
      <c r="D45" s="12"/>
      <c r="E45" s="12"/>
      <c r="F45" s="12"/>
      <c r="G45" s="12"/>
      <c r="H45" s="12"/>
      <c r="I45" s="12"/>
      <c r="J45" s="12"/>
      <c r="K45" s="12"/>
      <c r="L45" s="12"/>
      <c r="M45" s="12"/>
      <c r="N45" s="12"/>
      <c r="O45" s="12"/>
      <c r="P45" s="12"/>
      <c r="Q45" s="12"/>
      <c r="R45" s="12"/>
      <c r="S45" s="12"/>
      <c r="T45" s="12"/>
      <c r="U45" s="12"/>
      <c r="V45" s="12"/>
      <c r="W45" s="12"/>
      <c r="X45" s="12"/>
      <c r="Y45" s="13"/>
    </row>
  </sheetData>
  <mergeCells count="1">
    <mergeCell ref="A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TAMBE</dc:creator>
  <cp:lastModifiedBy>ADITYA TAMBE</cp:lastModifiedBy>
  <dcterms:created xsi:type="dcterms:W3CDTF">2026-07-25T20:27:04Z</dcterms:created>
  <dcterms:modified xsi:type="dcterms:W3CDTF">2026-07-25T20:27:25Z</dcterms:modified>
</cp:coreProperties>
</file>